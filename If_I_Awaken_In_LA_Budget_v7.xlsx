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Exec One-Pager" sheetId="1" r:id="rId5"/>
    <sheet state="visible" name="2. Investor Summary" sheetId="2" r:id="rId6"/>
    <sheet state="visible" name="3. Pitch Deck" sheetId="3" r:id="rId7"/>
    <sheet state="visible" name="Summary" sheetId="4" r:id="rId8"/>
    <sheet state="visible" name="Assumptions" sheetId="5" r:id="rId9"/>
    <sheet state="visible" name="Production Budget" sheetId="6" r:id="rId10"/>
    <sheet state="visible" name="Weekly Operating" sheetId="7" r:id="rId11"/>
    <sheet state="visible" name="Seating Plan" sheetId="8" r:id="rId12"/>
    <sheet state="visible" name="Recoupment" sheetId="9" r:id="rId13"/>
    <sheet state="visible" name="Events Upside" sheetId="10" r:id="rId14"/>
  </sheets>
  <definedNames/>
  <calcPr/>
</workbook>
</file>

<file path=xl/sharedStrings.xml><?xml version="1.0" encoding="utf-8"?>
<sst xmlns="http://schemas.openxmlformats.org/spreadsheetml/2006/main" count="1098" uniqueCount="938">
  <si>
    <t>IF I AWAKEN IN LOS ANGELES</t>
  </si>
  <si>
    <t>Immersive theatre · 30,100 sq ft · 150-cap · 60-week Los Angeles run</t>
  </si>
  <si>
    <t>THE ASK</t>
  </si>
  <si>
    <t>KEY METRICS</t>
  </si>
  <si>
    <t>Weekly Ticket Gross (100%)</t>
  </si>
  <si>
    <t>Weekly Operating Cost</t>
  </si>
  <si>
    <t>Weekly Contribution @ 100% (incl F&amp;B)</t>
  </si>
  <si>
    <t>Total Capitalization Required</t>
  </si>
  <si>
    <t>Breakeven Capacity</t>
  </si>
  <si>
    <t>Avg Ticket Price (weighted)</t>
  </si>
  <si>
    <t>CAPITALIZATION BREAKDOWN</t>
  </si>
  <si>
    <t>WEEKLY OPERATING COSTS</t>
  </si>
  <si>
    <t>Scenic / Physical Production</t>
  </si>
  <si>
    <t>Physical Maintenance</t>
  </si>
  <si>
    <t>Creative &amp; Management Fees</t>
  </si>
  <si>
    <t>Fees (GM, PR, Marketing, Legal)</t>
  </si>
  <si>
    <t>Pre-Opening Salaries</t>
  </si>
  <si>
    <t>Weekly Salaries (all staff)</t>
  </si>
  <si>
    <t>Casting &amp; Rehearsal</t>
  </si>
  <si>
    <t>Weekly Advertising</t>
  </si>
  <si>
    <t>Music</t>
  </si>
  <si>
    <t>Venue &amp; Tech (rent, utilities, CC)</t>
  </si>
  <si>
    <t>Advertising &amp; Launch</t>
  </si>
  <si>
    <t>General &amp; Administrative</t>
  </si>
  <si>
    <t>Venue Load-In &amp; Tech Labor</t>
  </si>
  <si>
    <t>Developmental</t>
  </si>
  <si>
    <t>TOTAL WEEKLY OPERATING</t>
  </si>
  <si>
    <t>Subtotal: Production Costs</t>
  </si>
  <si>
    <t>Bonds, Deposits, Advances</t>
  </si>
  <si>
    <t>Reserve &amp; 10% Contingency</t>
  </si>
  <si>
    <t>TOTAL CAPITALIZATION</t>
  </si>
  <si>
    <t>RECOUPMENT AT CAPACITY SCENARIOS</t>
  </si>
  <si>
    <t>Capacity</t>
  </si>
  <si>
    <t>100%</t>
  </si>
  <si>
    <t>90%</t>
  </si>
  <si>
    <t>80%</t>
  </si>
  <si>
    <t>75%</t>
  </si>
  <si>
    <t>Weekly Contribution</t>
  </si>
  <si>
    <t>Weeks to Recoup</t>
  </si>
  <si>
    <t>Run length: 60 performance weeks. 12 shows/week at 150 capacity. Tiered pricing with community-access tier on every performance.</t>
  </si>
  <si>
    <t>Not modeled: bar + gift shop + concessions revenue — conservatively adds 15–25% to weekly gross.</t>
  </si>
  <si>
    <t>Investor Summary · Confidential</t>
  </si>
  <si>
    <t>THE OPPORTUNITY</t>
  </si>
  <si>
    <t>An immersive theatrical journey through six LA neighborhoods in a transformed 30,100 sq ft warehouse.</t>
  </si>
  <si>
    <t>60-week run June 2026–August 2027. 12 shows/week. 150-capacity per show.</t>
  </si>
  <si>
    <t>Total Capitalization</t>
  </si>
  <si>
    <t>Weekly Gross Potential</t>
  </si>
  <si>
    <t>USE OF FUNDS</t>
  </si>
  <si>
    <t>Category</t>
  </si>
  <si>
    <t>Amount</t>
  </si>
  <si>
    <t>% of Total</t>
  </si>
  <si>
    <t>What it covers</t>
  </si>
  <si>
    <t>Build-out &amp; Physical Production</t>
  </si>
  <si>
    <t>Scenic for 6 environments, LED wall, sound/lighting install, lobby bar/shop, exterior mural</t>
  </si>
  <si>
    <t>Director, writer, designers, producers, GM, production manager, union benefits</t>
  </si>
  <si>
    <t>6-week rehearsal+tech+preview period: cast, musicians, SMs, crew</t>
  </si>
  <si>
    <t>Launch Marketing &amp; Press</t>
  </si>
  <si>
    <t>Pre-opening ad spend, PR, opening night, community partner outreach</t>
  </si>
  <si>
    <t>Load-In Labor &amp; Venue</t>
  </si>
  <si>
    <t>Scenic/electrics/audio load-in, 3-month pre-opening warehouse rent</t>
  </si>
  <si>
    <t>Casting, Music, Development</t>
  </si>
  <si>
    <t>Audition space, re-orch, music copying, site-specific R&amp;D</t>
  </si>
  <si>
    <t>G&amp;A, Legal, Insurance</t>
  </si>
  <si>
    <t>LLC formation, immersive insurance, accounting, travel/housing</t>
  </si>
  <si>
    <t>AEA/AFM/SDC/USA bonds, LED vendor deposit, creative advances</t>
  </si>
  <si>
    <t>Reserve (2-wk preview + 10% contingency)</t>
  </si>
  <si>
    <t>Operating reserve and overrun protection</t>
  </si>
  <si>
    <t>CAPITALIZATION STRUCTURE (Recommended)</t>
  </si>
  <si>
    <t>Source</t>
  </si>
  <si>
    <t>%</t>
  </si>
  <si>
    <t>Recoupment</t>
  </si>
  <si>
    <t>Investor Capital</t>
  </si>
  <si>
    <t>Recoupable: 120% + 50% profit share post-recoupment</t>
  </si>
  <si>
    <t>Institutional Grants (NEA, Mellon, LADF)</t>
  </si>
  <si>
    <t>Non-recoupable (mission-aligned)</t>
  </si>
  <si>
    <t>Individual Philanthropy / Major Gifts</t>
  </si>
  <si>
    <t>Non-recoupable (named sponsorships)</t>
  </si>
  <si>
    <t>Community / Earned (memberships, crowdfunding)</t>
  </si>
  <si>
    <t>Non-recoupable</t>
  </si>
  <si>
    <t>INVESTOR RETURN SCENARIOS</t>
  </si>
  <si>
    <t>Avg Capacity</t>
  </si>
  <si>
    <t>Investor Recoup*</t>
  </si>
  <si>
    <t>Within 60-Wk Run?</t>
  </si>
  <si>
    <t>85%</t>
  </si>
  <si>
    <t>70%</t>
  </si>
  <si>
    <t>65%</t>
  </si>
  <si>
    <t>*Investor Recoup column = weeks to recoup 55% investor tier only. Grants/philanthropy tiers are non-recoupable.</t>
  </si>
  <si>
    <t>Budget at a Glance</t>
  </si>
  <si>
    <t>CAPITALIZATION</t>
  </si>
  <si>
    <t>WEEKLY GROSS POTENTIAL</t>
  </si>
  <si>
    <t>RUN LENGTH</t>
  </si>
  <si>
    <t>SHOWS PER WEEK</t>
  </si>
  <si>
    <t>"60 weeks"</t>
  </si>
  <si>
    <t>VENUE SIZE</t>
  </si>
  <si>
    <t>SEATS PER SHOW</t>
  </si>
  <si>
    <t>"30,100 sq ft"</t>
  </si>
  <si>
    <t>WHERE THE MONEY GOES</t>
  </si>
  <si>
    <t>Share</t>
  </si>
  <si>
    <t>Build &amp; Physical Production</t>
  </si>
  <si>
    <t>People (Fees + Salaries)</t>
  </si>
  <si>
    <t>Marketing &amp; Launch</t>
  </si>
  <si>
    <t>G&amp;A, Bonds, Reserve</t>
  </si>
  <si>
    <t>TOTAL</t>
  </si>
  <si>
    <t>60-week run · 12 shows/week · Tiered pricing with community access on every performance</t>
  </si>
  <si>
    <t>NOT FOR DISTRIBUTION</t>
  </si>
  <si>
    <t>Get Lit Collective / If I Awaken Productions</t>
  </si>
  <si>
    <t>Los Angeles, CA  |  info@ifiawaken.com</t>
  </si>
  <si>
    <t>CONFIDENTIAL</t>
  </si>
  <si>
    <t>as of: 4/20/26</t>
  </si>
  <si>
    <t>IMMERSIVE THEATRE  ·  LOS ANGELES  ·  BUDGET SUMMARY  ·  v2 (no royalties)</t>
  </si>
  <si>
    <t>PRODUCTION COSTS (CAPITALIZATION)</t>
  </si>
  <si>
    <t>(100) PHYSICAL</t>
  </si>
  <si>
    <t>(200) FIXED FEES</t>
  </si>
  <si>
    <t>(300) SALARIES (Pre-Opening)</t>
  </si>
  <si>
    <t>(400) CASTING / REHEARSAL EXPENSES</t>
  </si>
  <si>
    <t>(500) MUSIC EXPENSES</t>
  </si>
  <si>
    <t>(600) ADVERTISING &amp; PROMOTION</t>
  </si>
  <si>
    <t>(700) VENUE &amp; TECH (Load-In)</t>
  </si>
  <si>
    <t>(800) GENERAL &amp; ADMINISTRATIVE</t>
  </si>
  <si>
    <t>(900) DEVELOPMENTAL</t>
  </si>
  <si>
    <t>SUBTOTAL PRODUCTION COSTS:</t>
  </si>
  <si>
    <t>(950) BONDS, DEPOSITS, ADVANCES</t>
  </si>
  <si>
    <t>(1000) CONTINGENCY &amp; RESERVE</t>
  </si>
  <si>
    <t>TOTAL CAPITALIZATION:</t>
  </si>
  <si>
    <t>WEEKLY OPERATING COSTS (NO ROYALTIES)</t>
  </si>
  <si>
    <t>(1100) PHYSICAL MAINTENANCE</t>
  </si>
  <si>
    <t>(1200) FEES (WEEKLY)</t>
  </si>
  <si>
    <t>(1300) SALARIES (incl. Director + Writer)</t>
  </si>
  <si>
    <t>(1400) ADVERTISING</t>
  </si>
  <si>
    <t>(1500) VENUE &amp; TECH</t>
  </si>
  <si>
    <t>(1600) GENERAL &amp; ADMIN</t>
  </si>
  <si>
    <t>TOTAL WEEKLY OPERATING:</t>
  </si>
  <si>
    <t>WEEKLY GROSS POTENTIAL &amp; KEY METRICS</t>
  </si>
  <si>
    <t>Weekly Gross Potential (100%):</t>
  </si>
  <si>
    <t>Weekly F&amp;B / Merch Net Revenue:</t>
  </si>
  <si>
    <t>TOTAL WEEKLY REVENUE (100%):</t>
  </si>
  <si>
    <t>Weekly Contribution (100% cap):</t>
  </si>
  <si>
    <t>Weekly Contribution (80% cap est.):</t>
  </si>
  <si>
    <t>Breakeven Capacity:</t>
  </si>
  <si>
    <t>Weeks to Recoup @ 80% Capacity:</t>
  </si>
  <si>
    <t>RECOMMENDED CAPITALIZATION STRUCTURE</t>
  </si>
  <si>
    <t>Notes</t>
  </si>
  <si>
    <t>Investor Capital (recoupable + profit share)</t>
  </si>
  <si>
    <t>120% recoupment + 50% profits post-recoup (despite no royalties, investors still get profit share).</t>
  </si>
  <si>
    <t>Mission-aligned arts funding — no recoupment obligation.</t>
  </si>
  <si>
    <t>Named sponsorships (spaces, programming) — no recoupment.</t>
  </si>
  <si>
    <t>Community / Earned (Kickstarter, memberships)</t>
  </si>
  <si>
    <t>Presale memberships + crowdfunding — community buy-in.</t>
  </si>
  <si>
    <t>Recoupable Portion (investor capital only):</t>
  </si>
  <si>
    <t>ASSUMPTIONS</t>
  </si>
  <si>
    <t>Rehearsal Weeks</t>
  </si>
  <si>
    <t>AEA (Actors + SMs)</t>
  </si>
  <si>
    <t>SMs only</t>
  </si>
  <si>
    <t>Tech Weeks</t>
  </si>
  <si>
    <t>SDC (Director/Choreographer)</t>
  </si>
  <si>
    <t>Y</t>
  </si>
  <si>
    <t>Preview Weeks</t>
  </si>
  <si>
    <t>USA (Designers)</t>
  </si>
  <si>
    <t>Performance Weeks (run)</t>
  </si>
  <si>
    <t>AFM Local 47 (Musicians)</t>
  </si>
  <si>
    <t>Shows per week</t>
  </si>
  <si>
    <t>ATPAM (House/Press)</t>
  </si>
  <si>
    <t>N</t>
  </si>
  <si>
    <t>Seat Capacity per show</t>
  </si>
  <si>
    <t>Contract Type</t>
  </si>
  <si>
    <t>AEA SM contract</t>
  </si>
  <si>
    <t>Venue Size (sq ft)</t>
  </si>
  <si>
    <t>Stage Manager (PSM)</t>
  </si>
  <si>
    <t>Monthly Warehouse Rent</t>
  </si>
  <si>
    <t>Assistant Stage Managers</t>
  </si>
  <si>
    <t>Performers — Poets/Actors</t>
  </si>
  <si>
    <t>Production Assistants</t>
  </si>
  <si>
    <t xml:space="preserve">  of which AEA</t>
  </si>
  <si>
    <t>Board Ops / LED Tech</t>
  </si>
  <si>
    <t xml:space="preserve">  of which non-union</t>
  </si>
  <si>
    <t>Sound / A1</t>
  </si>
  <si>
    <t>Performers — Dancers (non-union)</t>
  </si>
  <si>
    <t>Wardrobe Supv + Dressers</t>
  </si>
  <si>
    <t>Performers — Musicians (AFM)</t>
  </si>
  <si>
    <t>Props Crew</t>
  </si>
  <si>
    <t>Understudies / Swings</t>
  </si>
  <si>
    <t>Royalty Structure</t>
  </si>
  <si>
    <t>None</t>
  </si>
  <si>
    <t>Tour Guides / Wranglers per show</t>
  </si>
  <si>
    <t>Project Notes:</t>
  </si>
  <si>
    <t>• Immersive theatre across six themed environments in a 30,100 sq ft LA warehouse (long-term lease, buildout by production).</t>
  </si>
  <si>
    <t>• Journey: Lobby (bar, gift shop, box office) + Space 1 LED intro -&gt; Space 2 Boyle Heights -&gt; Space 3 Asian</t>
  </si>
  <si>
    <t xml:space="preserve">  neighborhoods -&gt; Space 4 African-American neighborhoods -&gt; Space 5 Canyons/folk -&gt; Space 6 Concert -&gt; Space 1 reprise.</t>
  </si>
  <si>
    <t>• Scenic concept: miniature LA — forced-perspective iconic buildings + full-scale street props (e.g., taco stand).</t>
  </si>
  <si>
    <t>• Premium lighting design: lighting is a primary storytelling device, steering audience focus across 6 environments.</t>
  </si>
  <si>
    <t>• Performers double as tour guides where narratively appropriate; 3 dedicated wranglers per show.</t>
  </si>
  <si>
    <t>• Music composed by Derrick Hodge (Grammy); production owns composition rights — no composer fee, no royalty.</t>
  </si>
  <si>
    <t>• Compressed schedule: 2 rehearsal + 2 tech + 2 preview weeks (6 weeks pre-opening).</t>
  </si>
  <si>
    <t>• Run: 60 performance weeks, 12 shows/week (Thu–Sun).</t>
  </si>
  <si>
    <t>• Director: Andrew Scoville (Theater of the Mind, Here Lies Love Assoc., Money Heist: The Experience NYC).</t>
  </si>
  <si>
    <t>• General Manager: Mark Chinapen.  |  Producer: Gina.</t>
  </si>
  <si>
    <t>• Compensation model: NO ROYALTIES. Director + Writer receive weekly salaries in lieu of royalty pool.</t>
  </si>
  <si>
    <t>• Partial AEA: 6 of 15 poets/actors + all 3 SMs AEA; dancers and remaining 9 poets non-union; musicians AFM Local 47.</t>
  </si>
  <si>
    <t>PRODUCTION BUDGET — IMMERSIVE (150 CAP, 30,100 SQ FT WAREHOUSE)</t>
  </si>
  <si>
    <t>Cast: 15 Poets/Actors  |  5 Dancers  |  5 Musicians  |  4 Understudies/Swings</t>
  </si>
  <si>
    <t>units</t>
  </si>
  <si>
    <t>rate</t>
  </si>
  <si>
    <t>amount</t>
  </si>
  <si>
    <t>subtotal</t>
  </si>
  <si>
    <t>(101)</t>
  </si>
  <si>
    <t>Scenery — Spaces 2/3/4/5 (neighborhood builds)</t>
  </si>
  <si>
    <t>(101a)</t>
  </si>
  <si>
    <t>Scenery — Space 1 (LED lobby/intro)</t>
  </si>
  <si>
    <t>(101b)</t>
  </si>
  <si>
    <t>Scenery — Space 6 (concert stage + seating)</t>
  </si>
  <si>
    <t>(101c)</t>
  </si>
  <si>
    <t>Lobby Bar — Build, Equipment, POS, Inventory</t>
  </si>
  <si>
    <t>(101d)</t>
  </si>
  <si>
    <t>Lobby Gift Shop — Fixtures, Display, POS, Initial Inventory</t>
  </si>
  <si>
    <t>(101e)</t>
  </si>
  <si>
    <t>Lobby Box Office — Counter, Ticketing Hardware, Display</t>
  </si>
  <si>
    <t>(102)</t>
  </si>
  <si>
    <t>Automation / Moving Scenic Elements</t>
  </si>
  <si>
    <t>(103)</t>
  </si>
  <si>
    <t>Costumes — Performers (25 total cast)</t>
  </si>
  <si>
    <t>(104)</t>
  </si>
  <si>
    <t>Understudy Costumes</t>
  </si>
  <si>
    <t>(104a)</t>
  </si>
  <si>
    <t>Wardrobe Perishables</t>
  </si>
  <si>
    <t>(105)</t>
  </si>
  <si>
    <t>Costume Maintenance (pre-show)</t>
  </si>
  <si>
    <t>(106)</t>
  </si>
  <si>
    <t>Electrics Purchase (premium install — 6 spaces)</t>
  </si>
  <si>
    <t>(107)</t>
  </si>
  <si>
    <t>Electrics Rental (Tech)</t>
  </si>
  <si>
    <t>(108)</t>
  </si>
  <si>
    <t>Sound Purchase (install — 6 spaces)</t>
  </si>
  <si>
    <t>(109)</t>
  </si>
  <si>
    <t>Sound Rental (Tech)</t>
  </si>
  <si>
    <t>(110)</t>
  </si>
  <si>
    <t>Props / Furniture (6 spaces)</t>
  </si>
  <si>
    <t>(111)</t>
  </si>
  <si>
    <t>Special Effects (haze, fog, atmospherics)</t>
  </si>
  <si>
    <t>(112)</t>
  </si>
  <si>
    <t>Projections Equipment (non-LED)</t>
  </si>
  <si>
    <t>(113)</t>
  </si>
  <si>
    <t>LED Wall — Purchase (110 ft x 14 ft)</t>
  </si>
  <si>
    <t>(113a)</t>
  </si>
  <si>
    <t>LED Media Servers / Playback Infrastructure</t>
  </si>
  <si>
    <t>(113b)</t>
  </si>
  <si>
    <t>LED Content Creation / Video Production</t>
  </si>
  <si>
    <t>(114)</t>
  </si>
  <si>
    <t>Hair / Wigs / Makeup</t>
  </si>
  <si>
    <t>(115)</t>
  </si>
  <si>
    <t>Designer Expenses</t>
  </si>
  <si>
    <t>(116)</t>
  </si>
  <si>
    <t>Departmental Expenses / Hardware</t>
  </si>
  <si>
    <t>(117)</t>
  </si>
  <si>
    <t>Carting / Trucking / Storage</t>
  </si>
  <si>
    <t>(118)</t>
  </si>
  <si>
    <t>Venue Permitting &amp; Occupancy Buildout</t>
  </si>
  <si>
    <t>(119)</t>
  </si>
  <si>
    <t>Security Infrastructure (cameras, access, install, training)</t>
  </si>
  <si>
    <t>(120)</t>
  </si>
  <si>
    <t>Exterior Wall Paint/Mural Wrap (front — ~3,820 sq ft)</t>
  </si>
  <si>
    <t>TOTAL 100 — PHYSICAL</t>
  </si>
  <si>
    <t>(201)</t>
  </si>
  <si>
    <t>Author / Book Writer (includes 50% of run-period salary)</t>
  </si>
  <si>
    <t>(203)</t>
  </si>
  <si>
    <t>Director — Andrew Scoville (includes 50% of run-period salary)</t>
  </si>
  <si>
    <t>(204)</t>
  </si>
  <si>
    <t>Assistant Director</t>
  </si>
  <si>
    <t>(205)</t>
  </si>
  <si>
    <t>Choreographer</t>
  </si>
  <si>
    <t>(206)</t>
  </si>
  <si>
    <t>Assistant Choreographer</t>
  </si>
  <si>
    <t>(207)</t>
  </si>
  <si>
    <t>Scenic Designer (6 environments)</t>
  </si>
  <si>
    <t>(208)</t>
  </si>
  <si>
    <t>Assistant Scenic Designer</t>
  </si>
  <si>
    <t>(209)</t>
  </si>
  <si>
    <t>Costume Designer</t>
  </si>
  <si>
    <t>(210)</t>
  </si>
  <si>
    <t>Assistant Costume Designer</t>
  </si>
  <si>
    <t>(211)</t>
  </si>
  <si>
    <t>Lighting Designer (premium — lead design across 6 spaces)</t>
  </si>
  <si>
    <t>(211a)</t>
  </si>
  <si>
    <t>Associate Lighting Designer</t>
  </si>
  <si>
    <t>(212)</t>
  </si>
  <si>
    <t>Assistant Lighting Designer</t>
  </si>
  <si>
    <t>(213)</t>
  </si>
  <si>
    <t>Sound Designer (spatial audio, 6 spaces)</t>
  </si>
  <si>
    <t>(214)</t>
  </si>
  <si>
    <t>Assistant Sound Designer</t>
  </si>
  <si>
    <t>(217)</t>
  </si>
  <si>
    <t>Projections / Video Designer (LED content + projection)</t>
  </si>
  <si>
    <t>(218)</t>
  </si>
  <si>
    <t>Assistant Projections Designer</t>
  </si>
  <si>
    <t>(215)</t>
  </si>
  <si>
    <t>Props Designer</t>
  </si>
  <si>
    <t>(216)</t>
  </si>
  <si>
    <t>Prop Shopper / Buyer</t>
  </si>
  <si>
    <t>(219)</t>
  </si>
  <si>
    <t>Hair / Makeup Designer</t>
  </si>
  <si>
    <t>(220)</t>
  </si>
  <si>
    <t>Assistant Hair / Makeup Designer</t>
  </si>
  <si>
    <t>(221)</t>
  </si>
  <si>
    <t>Fight Director</t>
  </si>
  <si>
    <t>(222)</t>
  </si>
  <si>
    <t>Intimacy Coordinator</t>
  </si>
  <si>
    <t>(223)</t>
  </si>
  <si>
    <t>Special Effects Designer</t>
  </si>
  <si>
    <t>(224)</t>
  </si>
  <si>
    <t>Orchestrator / Arranger (re-orch Hodge score for 5-pc)</t>
  </si>
  <si>
    <t>(225)</t>
  </si>
  <si>
    <t>Copyist</t>
  </si>
  <si>
    <t>(226)</t>
  </si>
  <si>
    <t>Music Director (pre-pro portion)</t>
  </si>
  <si>
    <t>(227)</t>
  </si>
  <si>
    <t>Vocal Director</t>
  </si>
  <si>
    <t>(228)</t>
  </si>
  <si>
    <t>Dialect / Language Coach</t>
  </si>
  <si>
    <t>(229)</t>
  </si>
  <si>
    <t>Executive Producer</t>
  </si>
  <si>
    <t>(229a)</t>
  </si>
  <si>
    <t>Producer — Gina</t>
  </si>
  <si>
    <t>(230)</t>
  </si>
  <si>
    <t>General Management — Chinapen (includes 50% of run-period weekly fee)</t>
  </si>
  <si>
    <t>(230a)</t>
  </si>
  <si>
    <t>Property Manager (pre-opening)</t>
  </si>
  <si>
    <t>(231)</t>
  </si>
  <si>
    <t>Production Manager</t>
  </si>
  <si>
    <t>(232)</t>
  </si>
  <si>
    <t>Technical Director</t>
  </si>
  <si>
    <t>(233)</t>
  </si>
  <si>
    <t>Master Electrician (pre-pro)</t>
  </si>
  <si>
    <t>(234)</t>
  </si>
  <si>
    <t>Casting Director</t>
  </si>
  <si>
    <t>(235)</t>
  </si>
  <si>
    <t>Press Agent (startup)</t>
  </si>
  <si>
    <t>(236)</t>
  </si>
  <si>
    <t>Advertising Agency Startup</t>
  </si>
  <si>
    <t>(237)</t>
  </si>
  <si>
    <t>Marketing / Social Media Startup</t>
  </si>
  <si>
    <t>(238)</t>
  </si>
  <si>
    <t>SDC Pension 4.5% (on Director + Chor fees)</t>
  </si>
  <si>
    <t>(239)</t>
  </si>
  <si>
    <t>SDC Health (4 positions × 8 wks × $187)</t>
  </si>
  <si>
    <t>(240)</t>
  </si>
  <si>
    <t>USA Health 13% (on designer fees)</t>
  </si>
  <si>
    <t>(241)</t>
  </si>
  <si>
    <t>USA Pension 9% (on designer fees)</t>
  </si>
  <si>
    <t>(242)</t>
  </si>
  <si>
    <t>USA Benefits 25% (on designer fees)</t>
  </si>
  <si>
    <t>(243)</t>
  </si>
  <si>
    <t>Payroll Taxes 18% (on W-2 creative fees)</t>
  </si>
  <si>
    <t>TOTAL 200 — FIXED FEES</t>
  </si>
  <si>
    <t>(300) SALARIES — REHEARSAL / TECH / PREVIEW (2+2+2 wks)</t>
  </si>
  <si>
    <t>(301)</t>
  </si>
  <si>
    <t>Stars</t>
  </si>
  <si>
    <t>(302)</t>
  </si>
  <si>
    <t>Principals — AEA (6 × 4 wks)</t>
  </si>
  <si>
    <t>(302a)</t>
  </si>
  <si>
    <t>Principals — Non-union Poets (9 × 4 wks)</t>
  </si>
  <si>
    <t>(302b)</t>
  </si>
  <si>
    <t>Dancers — Non-union (5 × 4 wks)</t>
  </si>
  <si>
    <t>(303)</t>
  </si>
  <si>
    <t>Dance Captain premium (4 wks × 18%)</t>
  </si>
  <si>
    <t>(304)</t>
  </si>
  <si>
    <t>Swings / Understudies (4 × 4 wks)</t>
  </si>
  <si>
    <t>(305)</t>
  </si>
  <si>
    <t>Stage Manager (PSM, AEA) — 4 wks</t>
  </si>
  <si>
    <t>(305.5)</t>
  </si>
  <si>
    <t>PSM Pre-Production Prep</t>
  </si>
  <si>
    <t>(305.6)</t>
  </si>
  <si>
    <t>PSM Tech Bump (2 wks × 33%)</t>
  </si>
  <si>
    <t>(306)</t>
  </si>
  <si>
    <t>Assistant Stage Managers (AEA, 2 × 4 wks)</t>
  </si>
  <si>
    <t>(306.6)</t>
  </si>
  <si>
    <t>ASM Tech Bumps (2 × 2 wks × 33%)</t>
  </si>
  <si>
    <t>(306.8)</t>
  </si>
  <si>
    <t>ASM Previews (2 × 2 wks)</t>
  </si>
  <si>
    <t>(307)</t>
  </si>
  <si>
    <t>Actor 10/12 Tech Bumps (25 × 2 wks)</t>
  </si>
  <si>
    <t>(308)</t>
  </si>
  <si>
    <t>Production Assistants (2 × 4 wks)</t>
  </si>
  <si>
    <t>(308a)</t>
  </si>
  <si>
    <t>Music Director (rehearsal+tech, 4 wks)</t>
  </si>
  <si>
    <t>(308b)</t>
  </si>
  <si>
    <t>Musicians — AFM (5 × 4 wks: tech+preview)</t>
  </si>
  <si>
    <t>(308c)</t>
  </si>
  <si>
    <t>Musicians Hourly Rehearsal Calls</t>
  </si>
  <si>
    <t>(309)</t>
  </si>
  <si>
    <t>Musician Contractor Fee</t>
  </si>
  <si>
    <t>(311)</t>
  </si>
  <si>
    <t>Musicians — Synth Programmer</t>
  </si>
  <si>
    <t>(312)</t>
  </si>
  <si>
    <t>Audition / Rehearsal Pianist</t>
  </si>
  <si>
    <t>(313)</t>
  </si>
  <si>
    <t>Lighting Board Op (tech/preview hrs)</t>
  </si>
  <si>
    <t>(314)</t>
  </si>
  <si>
    <t>Lighting Programmer (premium — 6 spaces)</t>
  </si>
  <si>
    <t>(315)</t>
  </si>
  <si>
    <t>LED Wall / Media Server Programmer</t>
  </si>
  <si>
    <t>(317)</t>
  </si>
  <si>
    <t>Sound Crew / A1 (tech+preview)</t>
  </si>
  <si>
    <t>(319)</t>
  </si>
  <si>
    <t>Props Crew (tech+preview)</t>
  </si>
  <si>
    <t>(320)</t>
  </si>
  <si>
    <t>Wardrobe Supervisor (tech+preview)</t>
  </si>
  <si>
    <t>(321)</t>
  </si>
  <si>
    <t>Dressers (2 × 4 wks)</t>
  </si>
  <si>
    <t>(322)</t>
  </si>
  <si>
    <t>Audio Engineer (Head A2)</t>
  </si>
  <si>
    <t>(323)</t>
  </si>
  <si>
    <t>General Manager (weekly retainer, 6 wks pre-open)</t>
  </si>
  <si>
    <t>(324)</t>
  </si>
  <si>
    <t>Company / House Manager (6 wks pre-open)</t>
  </si>
  <si>
    <t>(325)</t>
  </si>
  <si>
    <t>Tour Guide / Wrangler Training (3 × 2 wks)</t>
  </si>
  <si>
    <t>(326)</t>
  </si>
  <si>
    <t>AEA Overtime Contingency</t>
  </si>
  <si>
    <t>(327)</t>
  </si>
  <si>
    <t>AFM Overtime Contingency</t>
  </si>
  <si>
    <t>(328)</t>
  </si>
  <si>
    <t>Crew Overtime Contingency</t>
  </si>
  <si>
    <t>(329)</t>
  </si>
  <si>
    <t>AEA SM Health (3 SMs × 5 wks × $190)</t>
  </si>
  <si>
    <t>(331)</t>
  </si>
  <si>
    <t>AEA Actor Health (8 AEA × 4 wks × $190)</t>
  </si>
  <si>
    <t>(332)</t>
  </si>
  <si>
    <t>AEA Pension 8% (on AEA salaries)</t>
  </si>
  <si>
    <t>(333)</t>
  </si>
  <si>
    <t>AEA New Media 1.5% (on AEA salaries)</t>
  </si>
  <si>
    <t>(333a)</t>
  </si>
  <si>
    <t>AFM Pension + H&amp;W ~15% (on musicians)</t>
  </si>
  <si>
    <t>(334)</t>
  </si>
  <si>
    <t>Payroll Taxes 18% (on W-2 salaries)</t>
  </si>
  <si>
    <t>TOTAL 300 — SALARIES</t>
  </si>
  <si>
    <t>(401)</t>
  </si>
  <si>
    <t>Audition Space Rental (40 sessions × $125)</t>
  </si>
  <si>
    <t>(402)</t>
  </si>
  <si>
    <t>Rehearsal Space Rental (LA — 2 wks)</t>
  </si>
  <si>
    <t>(403)</t>
  </si>
  <si>
    <t>Scripts / Scores / Design Blueprints</t>
  </si>
  <si>
    <t>(404)</t>
  </si>
  <si>
    <t>Stage Manager Kit / Expenses</t>
  </si>
  <si>
    <t>(405)</t>
  </si>
  <si>
    <t>Rehearsal Scenery &amp; Mock-ups</t>
  </si>
  <si>
    <t>(406)</t>
  </si>
  <si>
    <t>Rehearsal Costumes / Shoes</t>
  </si>
  <si>
    <t>(407)</t>
  </si>
  <si>
    <t>Rehearsal Lighting / Sound</t>
  </si>
  <si>
    <t>(408)</t>
  </si>
  <si>
    <t>Rehearsal Props</t>
  </si>
  <si>
    <t>(409)</t>
  </si>
  <si>
    <t>Casting Expenses (readers, sides, sessions)</t>
  </si>
  <si>
    <t>(410)</t>
  </si>
  <si>
    <t>Hospitality / Crafty / Meals</t>
  </si>
  <si>
    <t>TOTAL 400 — CASTING / REHEARSAL EXPENSES</t>
  </si>
  <si>
    <t>(501)</t>
  </si>
  <si>
    <t>Orchestrations — NEW (Hodge score already composed, rights owned)</t>
  </si>
  <si>
    <t>(501a)</t>
  </si>
  <si>
    <t>Re-orchestration for 5-piece band (adaptation)</t>
  </si>
  <si>
    <t>(502)</t>
  </si>
  <si>
    <t>Vocal Arrangements</t>
  </si>
  <si>
    <t>(503)</t>
  </si>
  <si>
    <t>Dance / Incidental Arrangements</t>
  </si>
  <si>
    <t>(504)</t>
  </si>
  <si>
    <t>Music Copying</t>
  </si>
  <si>
    <t>(505)</t>
  </si>
  <si>
    <t>Music Maintenance</t>
  </si>
  <si>
    <t>(506)</t>
  </si>
  <si>
    <t>Synth Programming / Patch Purchase</t>
  </si>
  <si>
    <t>(507)</t>
  </si>
  <si>
    <t>Studio Rental for Music Rehearsal</t>
  </si>
  <si>
    <t>(508)</t>
  </si>
  <si>
    <t>Instruments — Purchase / Rental</t>
  </si>
  <si>
    <t>(509)</t>
  </si>
  <si>
    <t>Music Lessons / Coaching</t>
  </si>
  <si>
    <t>(511)</t>
  </si>
  <si>
    <t>AFM Music Prep Health &amp; Welfare</t>
  </si>
  <si>
    <t>TOTAL 500 — MUSIC EXPENSES</t>
  </si>
  <si>
    <t>(600) ADVERTISING &amp; PROMOTION (Pre-Opening) — +50%</t>
  </si>
  <si>
    <t>(601)</t>
  </si>
  <si>
    <t>Design / Creative Production (print + digital)</t>
  </si>
  <si>
    <t>(602)</t>
  </si>
  <si>
    <t>Photography (key art, production stills)</t>
  </si>
  <si>
    <t>(603)</t>
  </si>
  <si>
    <t>B-Roll / Video Production (trailer, social)</t>
  </si>
  <si>
    <t>(604)</t>
  </si>
  <si>
    <t>Front of House Signage / Banners / Street Art</t>
  </si>
  <si>
    <t>6 months</t>
  </si>
  <si>
    <t>(605)</t>
  </si>
  <si>
    <t>Website Build &amp; Maintenance (14-mo run)</t>
  </si>
  <si>
    <t>(606)</t>
  </si>
  <si>
    <t>Printing (programs, flyers)</t>
  </si>
  <si>
    <t>(607)</t>
  </si>
  <si>
    <t>Art Production (outdoor, transit)</t>
  </si>
  <si>
    <t>(608)</t>
  </si>
  <si>
    <t>Key Art / Logo Design</t>
  </si>
  <si>
    <t>(609)</t>
  </si>
  <si>
    <t>Radio / TV / Podcast Production</t>
  </si>
  <si>
    <t>(610)</t>
  </si>
  <si>
    <t>Group Sales / Tourism Partner Outreach</t>
  </si>
  <si>
    <t>(611)</t>
  </si>
  <si>
    <t>Press Agent Expenses / Press Events</t>
  </si>
  <si>
    <t>(612)</t>
  </si>
  <si>
    <t>Marketing Director Fee (pre-opening)</t>
  </si>
  <si>
    <t>(613)</t>
  </si>
  <si>
    <t>Opening Night Event</t>
  </si>
  <si>
    <t>(614)</t>
  </si>
  <si>
    <t>Community Partner Outreach (LA neighborhood orgs)</t>
  </si>
  <si>
    <t>(615)</t>
  </si>
  <si>
    <t>Educational / Discussion Guide Materials</t>
  </si>
  <si>
    <t>(616)</t>
  </si>
  <si>
    <t>Ad Spend — Pre-Opening (digital, OOH, print)</t>
  </si>
  <si>
    <t>TOTAL 600 — ADVERTISING &amp; PROMOTION</t>
  </si>
  <si>
    <t>(700) VENUE &amp; TECH (Load-In / Tech Labor)</t>
  </si>
  <si>
    <t>(701)</t>
  </si>
  <si>
    <t>Warehouse Rent — Pre-Opening (2 months)</t>
  </si>
  <si>
    <t>(702)</t>
  </si>
  <si>
    <t>Utilities Pre-Opening (HVAC, power — large warehouse)</t>
  </si>
  <si>
    <t>(703)</t>
  </si>
  <si>
    <t>Production Technical Supervisor (flat)</t>
  </si>
  <si>
    <t>(708)</t>
  </si>
  <si>
    <t>Shop Prep — Scenic (crew hrs)</t>
  </si>
  <si>
    <t>(709)</t>
  </si>
  <si>
    <t>Shop Prep — Electrics</t>
  </si>
  <si>
    <t>(710)</t>
  </si>
  <si>
    <t>Shop Prep — Audio</t>
  </si>
  <si>
    <t>(711)</t>
  </si>
  <si>
    <t>Production Labor — Scenic Load-In (3 wks)</t>
  </si>
  <si>
    <t>(712)</t>
  </si>
  <si>
    <t>Production Labor — Electrics Load-In (premium install)</t>
  </si>
  <si>
    <t>(713)</t>
  </si>
  <si>
    <t>Production Labor — Audio Load-In</t>
  </si>
  <si>
    <t>(714)</t>
  </si>
  <si>
    <t>Production Labor — LED Wall Install (specialty)</t>
  </si>
  <si>
    <t>(715)</t>
  </si>
  <si>
    <t>Preview Labor — Scenic touch-ups (2 wks)</t>
  </si>
  <si>
    <t>(716)</t>
  </si>
  <si>
    <t>Preview Labor — Costume</t>
  </si>
  <si>
    <t>(717)</t>
  </si>
  <si>
    <t>Preview Labor — Lighting</t>
  </si>
  <si>
    <t>(718)</t>
  </si>
  <si>
    <t>Preview Labor — Sound</t>
  </si>
  <si>
    <t>(719)</t>
  </si>
  <si>
    <t>Load-Out — Scenic (end of run)</t>
  </si>
  <si>
    <t>(720)</t>
  </si>
  <si>
    <t>Load-Out — Electrics</t>
  </si>
  <si>
    <t>(721)</t>
  </si>
  <si>
    <t>Load-Out — Audio / LED</t>
  </si>
  <si>
    <t>(722)</t>
  </si>
  <si>
    <t>Payroll Taxes 18% (on load-in/out labor)</t>
  </si>
  <si>
    <t>TOTAL 700 — VENUE &amp; TECH</t>
  </si>
  <si>
    <t>(801)</t>
  </si>
  <si>
    <t>Producer's Office Fee (6 mos × $600)</t>
  </si>
  <si>
    <t>(802)</t>
  </si>
  <si>
    <t>General Management Office Fee (6 mos × $600)</t>
  </si>
  <si>
    <t>(803)</t>
  </si>
  <si>
    <t>Accounting / Bookkeeping setup</t>
  </si>
  <si>
    <t>(804)</t>
  </si>
  <si>
    <t>Legal (LLC, contracts, permits, union negs)</t>
  </si>
  <si>
    <t>(805)</t>
  </si>
  <si>
    <t>Insurance (immersive: high GL + participant coverage)</t>
  </si>
  <si>
    <t>(806)</t>
  </si>
  <si>
    <t>Visa Costs / Travel for key creatives</t>
  </si>
  <si>
    <t>(807)</t>
  </si>
  <si>
    <t>Payroll Service setup + pre-opening</t>
  </si>
  <si>
    <t>(808)</t>
  </si>
  <si>
    <t>Travel &amp; Housing (NY creatives to LA)</t>
  </si>
  <si>
    <t>(809)</t>
  </si>
  <si>
    <t>Per Diem Contingency</t>
  </si>
  <si>
    <t>(810)</t>
  </si>
  <si>
    <t>Miscellaneous / Office Supplies</t>
  </si>
  <si>
    <t>TOTAL 800 — GENERAL &amp; ADMINISTRATIVE</t>
  </si>
  <si>
    <t>(901)</t>
  </si>
  <si>
    <t>Design Development Workshops (spatial/scenic)</t>
  </si>
  <si>
    <t>(902)</t>
  </si>
  <si>
    <t>Site-Specific R&amp;D (content, audience tracks)</t>
  </si>
  <si>
    <t>(903)</t>
  </si>
  <si>
    <t>Community Engagement / Story Development</t>
  </si>
  <si>
    <t>TOTAL 900 — DEVELOPMENTAL</t>
  </si>
  <si>
    <t>(951)</t>
  </si>
  <si>
    <t>Actors' Equity Bond (~2x weekly AEA salaries)</t>
  </si>
  <si>
    <t>(953)</t>
  </si>
  <si>
    <t>AFM Musicians Bond</t>
  </si>
  <si>
    <t>(954)</t>
  </si>
  <si>
    <t>SDC Bond</t>
  </si>
  <si>
    <t>(955)</t>
  </si>
  <si>
    <t>USA Bond</t>
  </si>
  <si>
    <t>(956)</t>
  </si>
  <si>
    <t>Warehouse Deposit (2 months rent)</t>
  </si>
  <si>
    <t>(957)</t>
  </si>
  <si>
    <t>Electrics Shop Guarantee</t>
  </si>
  <si>
    <t>(958)</t>
  </si>
  <si>
    <t>Sound Shop Guarantee</t>
  </si>
  <si>
    <t>(959)</t>
  </si>
  <si>
    <t>LED Vendor Deposit</t>
  </si>
  <si>
    <t>(964)</t>
  </si>
  <si>
    <t>Author Advance (recoupable — no royalty deal)</t>
  </si>
  <si>
    <t>(965)</t>
  </si>
  <si>
    <t>Director Advance — Scoville</t>
  </si>
  <si>
    <t>(966)</t>
  </si>
  <si>
    <t>Choreographer Advance</t>
  </si>
  <si>
    <t>(967)</t>
  </si>
  <si>
    <t>Closing Costs Bond</t>
  </si>
  <si>
    <t>TOTAL 950 — BONDS, DEPOSITS, ADVANCES</t>
  </si>
  <si>
    <t>SUBTOTAL CAPITALIZATION (Prod + Bonds):</t>
  </si>
  <si>
    <t>(1001)</t>
  </si>
  <si>
    <t>Preview Weeks Operating Reserve (2 wks × weekly op)</t>
  </si>
  <si>
    <t>(1002)</t>
  </si>
  <si>
    <t>Contingency (10% of Production Costs)</t>
  </si>
  <si>
    <t>TOTAL 1000 — CONTINGENCY &amp; RESERVE</t>
  </si>
  <si>
    <t>WEEKLY OPERATING BUDGET</t>
  </si>
  <si>
    <t>Per-week costs during 60-week run — NO ROYALTIES model (Director + Writer on salary)</t>
  </si>
  <si>
    <t>(1101)</t>
  </si>
  <si>
    <t>Costume Maintenance / Replacements</t>
  </si>
  <si>
    <t>(1102)</t>
  </si>
  <si>
    <t>Hair / Makeup Supplies</t>
  </si>
  <si>
    <t>(1103)</t>
  </si>
  <si>
    <t>Prop Replacements / Perishables</t>
  </si>
  <si>
    <t>(1104)</t>
  </si>
  <si>
    <t>Electrics Maintenance (premium lighting, 6 spaces)</t>
  </si>
  <si>
    <t>(1105)</t>
  </si>
  <si>
    <t>LED Wall Service Contract / Parts</t>
  </si>
  <si>
    <t>(1106)</t>
  </si>
  <si>
    <t>Sound Maintenance / Batteries / Parts</t>
  </si>
  <si>
    <t>(1107)</t>
  </si>
  <si>
    <t>Scenic Repair / Paint / Hardware</t>
  </si>
  <si>
    <t>(1108)</t>
  </si>
  <si>
    <t>Cleaning / Janitorial (30K sqft)</t>
  </si>
  <si>
    <t>(1109)</t>
  </si>
  <si>
    <t>Sanitation / Restroom Supplies</t>
  </si>
  <si>
    <t>(1110)</t>
  </si>
  <si>
    <t>Load-Out Accrual (weekly)</t>
  </si>
  <si>
    <t>(1111)</t>
  </si>
  <si>
    <t>Bar / Gift Shop — Restocking Allowance</t>
  </si>
  <si>
    <t>TOTAL 1100 — PHYSICAL MAINTENANCE</t>
  </si>
  <si>
    <t>(1201)</t>
  </si>
  <si>
    <t>General Management (50% — other 50% in prod budget)</t>
  </si>
  <si>
    <t>(1202)</t>
  </si>
  <si>
    <t>Production Supervisor / Resident Director — ELIMINATED</t>
  </si>
  <si>
    <t>(1203)</t>
  </si>
  <si>
    <t>Music Director (weekly) — CUT</t>
  </si>
  <si>
    <t>(1204)</t>
  </si>
  <si>
    <t>Press Agent (weekly)</t>
  </si>
  <si>
    <t>(1205)</t>
  </si>
  <si>
    <t>Advertising Agency (weekly)</t>
  </si>
  <si>
    <t>(1206)</t>
  </si>
  <si>
    <t>Marketing / Social Media Agency</t>
  </si>
  <si>
    <t>(1207)</t>
  </si>
  <si>
    <t>Casting Director (ongoing) — CUT</t>
  </si>
  <si>
    <t>(1208)</t>
  </si>
  <si>
    <t>Accounting / Bookkeeping (weekly)</t>
  </si>
  <si>
    <t>(1209)</t>
  </si>
  <si>
    <t>Legal Retainer</t>
  </si>
  <si>
    <t>(1210)</t>
  </si>
  <si>
    <t>Payroll Service</t>
  </si>
  <si>
    <t>(1211)</t>
  </si>
  <si>
    <t>Property Manager (weekly)</t>
  </si>
  <si>
    <t>TOTAL 1200 — FEES</t>
  </si>
  <si>
    <t>(1300) SALARIES (WEEKLY)</t>
  </si>
  <si>
    <t>(1300a)</t>
  </si>
  <si>
    <t>Producer - Diane Lane</t>
  </si>
  <si>
    <t>Producer - Brandon Jordan</t>
  </si>
  <si>
    <t>Producer - Gina Belafonte</t>
  </si>
  <si>
    <t>Director - Scoville (50% — other 50% in prod budget)</t>
  </si>
  <si>
    <t>(1300b)</t>
  </si>
  <si>
    <t>Writer - Monique (50% — other 50% in prod budget)</t>
  </si>
  <si>
    <t>(1301)</t>
  </si>
  <si>
    <t>Principals — AEA — ELIMINATED (cast now all non-union)</t>
  </si>
  <si>
    <t>(1301a)</t>
  </si>
  <si>
    <t>Principals — Non-union Poets (6)</t>
  </si>
  <si>
    <t>(1301b)</t>
  </si>
  <si>
    <t>Dancers — Non-union (5)</t>
  </si>
  <si>
    <t>(1301c)</t>
  </si>
  <si>
    <t>Tour Guide Actors (non-union, 2 — in-cast guides)</t>
  </si>
  <si>
    <t>(1301d)</t>
  </si>
  <si>
    <t>Teenage Singer (minor, non-union) — OPTIONAL</t>
  </si>
  <si>
    <t>(1301e)</t>
  </si>
  <si>
    <t>Studio Teacher (required when minor is on-site) — OPTIONAL</t>
  </si>
  <si>
    <t>(1302)</t>
  </si>
  <si>
    <t>Dance Captain premium (18%)</t>
  </si>
  <si>
    <t>(1303)</t>
  </si>
  <si>
    <t>Musicians — AFM (5)</t>
  </si>
  <si>
    <t>(1304)</t>
  </si>
  <si>
    <t>Musician Contractor Premium</t>
  </si>
  <si>
    <t>(1305)</t>
  </si>
  <si>
    <t>Swings / Understudies (4)</t>
  </si>
  <si>
    <t>(1306)</t>
  </si>
  <si>
    <t>Stage Manager (PSM, AEA)</t>
  </si>
  <si>
    <t>(1307)</t>
  </si>
  <si>
    <t>Assistant Stage Managers (AEA, 2)</t>
  </si>
  <si>
    <t>(1308)</t>
  </si>
  <si>
    <t>Production Assistants (2)</t>
  </si>
  <si>
    <t>(1309)</t>
  </si>
  <si>
    <t>Company / House Manager</t>
  </si>
  <si>
    <t>(1310)</t>
  </si>
  <si>
    <t>LED Wall / Media Server Tech</t>
  </si>
  <si>
    <t>(1311)</t>
  </si>
  <si>
    <t>Lighting Board Op (premium design)</t>
  </si>
  <si>
    <t>(1311a)</t>
  </si>
  <si>
    <t>Associate Lighting Designer (running — weekly)</t>
  </si>
  <si>
    <t>(1312)</t>
  </si>
  <si>
    <t>Sound A1</t>
  </si>
  <si>
    <t>(1313)</t>
  </si>
  <si>
    <t>Sound A2</t>
  </si>
  <si>
    <t>(1314)</t>
  </si>
  <si>
    <t>Wardrobe Supervisor</t>
  </si>
  <si>
    <t>(1315)</t>
  </si>
  <si>
    <t>Dressers (2)</t>
  </si>
  <si>
    <t>(1316)</t>
  </si>
  <si>
    <t>(1317)</t>
  </si>
  <si>
    <t>Scenic / Running Crew</t>
  </si>
  <si>
    <t>(1318)</t>
  </si>
  <si>
    <t>Audience Shepherd (1 per show × 12 shows × $225 — with radio)</t>
  </si>
  <si>
    <t>(1319)</t>
  </si>
  <si>
    <t>Front of House Staff / Ushers</t>
  </si>
  <si>
    <t>(1320)</t>
  </si>
  <si>
    <t>Box Office / Ticketing Staff</t>
  </si>
  <si>
    <t>(1320a)</t>
  </si>
  <si>
    <t>Bar Staff (2-3 on shift)</t>
  </si>
  <si>
    <t>(1320b)</t>
  </si>
  <si>
    <t>Gift Shop Staff (1-2 on shift)</t>
  </si>
  <si>
    <t>(1321)</t>
  </si>
  <si>
    <t>Security (ongoing — event staff)</t>
  </si>
  <si>
    <t>(1322)</t>
  </si>
  <si>
    <t>AEA Overtime Reserve</t>
  </si>
  <si>
    <t>(1323)</t>
  </si>
  <si>
    <t>Crew Overtime Reserve</t>
  </si>
  <si>
    <t>(1324)</t>
  </si>
  <si>
    <t>AEA Health (3 SMs × $190/wk)</t>
  </si>
  <si>
    <t>(1325)</t>
  </si>
  <si>
    <t>AEA Pension 8% (on AEA SM salaries only)</t>
  </si>
  <si>
    <t>(1326)</t>
  </si>
  <si>
    <t>AEA New Media 1.5% (on AEA SM salaries only)</t>
  </si>
  <si>
    <t>(1327)</t>
  </si>
  <si>
    <t>(1327a)</t>
  </si>
  <si>
    <t>SDC Weekly Benefits (Director salary: pension+health)</t>
  </si>
  <si>
    <t>(1328)</t>
  </si>
  <si>
    <t>Payroll Taxes 18% (on W-2 weekly salaries)</t>
  </si>
  <si>
    <t>TOTAL 1300 — SALARIES</t>
  </si>
  <si>
    <t>(1400) ADVERTISING (WEEKLY)</t>
  </si>
  <si>
    <t>(1401)</t>
  </si>
  <si>
    <t>Digital / Social Media Ad Spend</t>
  </si>
  <si>
    <t>(1402)</t>
  </si>
  <si>
    <t>OOH / Transit / Billboard</t>
  </si>
  <si>
    <t>(1403)</t>
  </si>
  <si>
    <t>Print / Newspaper / Magazine</t>
  </si>
  <si>
    <t>(1404)</t>
  </si>
  <si>
    <t>Radio / Podcast</t>
  </si>
  <si>
    <t>(1405)</t>
  </si>
  <si>
    <t>Photography / Video Refresh</t>
  </si>
  <si>
    <t>(1406)</t>
  </si>
  <si>
    <t>Programs &amp; Printing</t>
  </si>
  <si>
    <t>(1407)</t>
  </si>
  <si>
    <t>Press Events / Openings</t>
  </si>
  <si>
    <t>(1408)</t>
  </si>
  <si>
    <t>Group Sales Commissions</t>
  </si>
  <si>
    <t>TOTAL 1400 — ADVERTISING</t>
  </si>
  <si>
    <t>(1500) VENUE &amp; TECH (WEEKLY)</t>
  </si>
  <si>
    <t>(1501)</t>
  </si>
  <si>
    <t>Warehouse Rent ($20K/mo ÷ 4)</t>
  </si>
  <si>
    <t>(1502)</t>
  </si>
  <si>
    <t>Utilities — Electricity (HVAC for large warehouse)</t>
  </si>
  <si>
    <t>(1503)</t>
  </si>
  <si>
    <t>Utilities — Water / Gas / Trash</t>
  </si>
  <si>
    <t>(1504)</t>
  </si>
  <si>
    <t>Internet / Phone / Tech Infrastructure</t>
  </si>
  <si>
    <t>(1505)</t>
  </si>
  <si>
    <t>Equipment Rental Continuing</t>
  </si>
  <si>
    <t>(1506)</t>
  </si>
  <si>
    <t>Expendables (gel, gaff, batteries, consumables)</t>
  </si>
  <si>
    <t>(1507)</t>
  </si>
  <si>
    <t>Pest Control / Maintenance Service</t>
  </si>
  <si>
    <t>(1508)</t>
  </si>
  <si>
    <t>Credit Card / Ticketing Processing (3% GWBOR)</t>
  </si>
  <si>
    <t>TOTAL 1500 — VENUE &amp; TECH</t>
  </si>
  <si>
    <t>(1600) GENERAL &amp; ADMINISTRATIVE (WEEKLY)</t>
  </si>
  <si>
    <t>(1601)</t>
  </si>
  <si>
    <t>Insurance Accrual (GL, participant, WC)</t>
  </si>
  <si>
    <t>(1602)</t>
  </si>
  <si>
    <t>Office / Supplies</t>
  </si>
  <si>
    <t>(1603)</t>
  </si>
  <si>
    <t>Travel &amp; Housing (continuing)</t>
  </si>
  <si>
    <t>(1604)</t>
  </si>
  <si>
    <t>Per Diem (out-of-town creatives)</t>
  </si>
  <si>
    <t>(1605)</t>
  </si>
  <si>
    <t>Storage</t>
  </si>
  <si>
    <t>(1606)</t>
  </si>
  <si>
    <t>Bank Fees / Misc</t>
  </si>
  <si>
    <t>(1607)</t>
  </si>
  <si>
    <t>Union Dues Administration</t>
  </si>
  <si>
    <t>TOTAL 1600 — GENERAL &amp; ADMINISTRATIVE</t>
  </si>
  <si>
    <t>TOTAL WEEKLY OPERATING (WITH teenage singer):</t>
  </si>
  <si>
    <t>TOTAL WEEKLY OPERATING (WITHOUT teenage singer):</t>
  </si>
  <si>
    <t>Note: "Without" total excludes minor salary, studio teacher, and proportional payroll tax.</t>
  </si>
  <si>
    <t>Compensation Structure Notes:</t>
  </si>
  <si>
    <t>• NO ROYALTIES in this model — no GWBOR-based payments to any creative.</t>
  </si>
  <si>
    <t>• Director (Scoville): $2,500/wk salary + SDC benefits (in lieu of the standard 2% GWBOR royalty).</t>
  </si>
  <si>
    <t>• Writer / Author: $2,500/wk salary + $35K pre-opening fee (in lieu of the standard 4.5% GWBOR royalty).</t>
  </si>
  <si>
    <t>• Choreographer, Designers, Producer: upfront fee only (fully paid in production budget, no back-end royalty).</t>
  </si>
  <si>
    <t>• Hodge composition rights: no royalty (rights owned by production). No music licensing royalty line.</t>
  </si>
  <si>
    <t>• Trade-off: lower fixed weekly overhead, but creatives forgo upside — harder to attract A-list talent long-term.</t>
  </si>
  <si>
    <t>• If any creative insists on a royalty, substitute an equivalent weekly salary at ~1.5-2% of GWBOR potential ($2,700/wk).</t>
  </si>
  <si>
    <t>SEATING PLAN &amp; GROSS POTENTIAL — TIERED WITHIN-SHOW PRICING</t>
  </si>
  <si>
    <t>150-cap immersive · 12 shows/week · Every show has Community pricing</t>
  </si>
  <si>
    <t>Capacity per Show:</t>
  </si>
  <si>
    <t>Shows per Week:</t>
  </si>
  <si>
    <t>Weekly Capacity (seats):</t>
  </si>
  <si>
    <t>Day</t>
  </si>
  <si>
    <t>Tier</t>
  </si>
  <si>
    <t>Shows/Wk</t>
  </si>
  <si>
    <t>Seats/Show</t>
  </si>
  <si>
    <t>Price</t>
  </si>
  <si>
    <t>Weekly Gross</t>
  </si>
  <si>
    <t>Thursday — COMMUNITY NIGHT</t>
  </si>
  <si>
    <t>Community</t>
  </si>
  <si>
    <t>Standard</t>
  </si>
  <si>
    <t>Premium</t>
  </si>
  <si>
    <t>Friday</t>
  </si>
  <si>
    <t>Saturday — PEAK</t>
  </si>
  <si>
    <t>VIP (bar + shop voucher)</t>
  </si>
  <si>
    <t>Sunday</t>
  </si>
  <si>
    <t>WEEKLY GROSS POTENTIAL (100%):</t>
  </si>
  <si>
    <t>Weighted Average Ticket Price:</t>
  </si>
  <si>
    <t>Weekly Community Seats (accessible tier):</t>
  </si>
  <si>
    <t>Capacity Scenarios:</t>
  </si>
  <si>
    <t>Capacity %</t>
  </si>
  <si>
    <t>Tickets/Wk</t>
  </si>
  <si>
    <t>Avg Price</t>
  </si>
  <si>
    <t>110%</t>
  </si>
  <si>
    <t>60%</t>
  </si>
  <si>
    <t>50%</t>
  </si>
  <si>
    <t>Pricing Philosophy:</t>
  </si>
  <si>
    <t>• Within-show tiered pricing: every performance has Community seats — accessibility is built into every show, not isolated to one night.</t>
  </si>
  <si>
    <t>• Community tier ($40-60) = accessible for students, LA neighborhood partners, Get Lit alumni, nonprofit coalitions.</t>
  </si>
  <si>
    <t>• Standard tier = market-rate ticket for general audience.</t>
  </si>
  <si>
    <t>• Premium tier = committed theatergoers / tourists / immersive enthusiasts.</t>
  </si>
  <si>
    <t>• VIP tier (Saturday only, 20 seats/show) = bar credit + gift shop voucher + priority entry. Effectively subsidizes Community tier.</t>
  </si>
  <si>
    <t>• Weighted avg ~$91/ticket (vs. $99 in v2) — meaningful reduction via access tier on every performance.</t>
  </si>
  <si>
    <t>• Thursday Community Night reserves 80 of 150 seats at $40 — the deepest access slot in the week.</t>
  </si>
  <si>
    <t>• 110% capacity scenario = bar, gift shop, merch, concessions, group add-ons. Real upside not modeled in GWBOR.</t>
  </si>
  <si>
    <t>F&amp;B / MERCHANDISE REVENUE (per-cap model)</t>
  </si>
  <si>
    <t>Per-Cap</t>
  </si>
  <si>
    <t>Penetration</t>
  </si>
  <si>
    <t>COGS %</t>
  </si>
  <si>
    <t>Weekly Net</t>
  </si>
  <si>
    <t>Bar / Cocktails</t>
  </si>
  <si>
    <t>Food / Concessions</t>
  </si>
  <si>
    <t>Merchandise (programs, tees, vinyl)</t>
  </si>
  <si>
    <t>TOTAL F&amp;B / MERCH:</t>
  </si>
  <si>
    <t>COMBINED WEEKLY REVENUE (Tickets + F&amp;B Net):</t>
  </si>
  <si>
    <t>RECOUPMENT SCHEDULE</t>
  </si>
  <si>
    <t>Weeks to recoup capitalization — no-royalty model</t>
  </si>
  <si>
    <t>Total Capitalization:</t>
  </si>
  <si>
    <t>Weekly Operating Cost (at 100% GWBOR):</t>
  </si>
  <si>
    <t>Weekly GWBOR</t>
  </si>
  <si>
    <t>Weekly Op Cost</t>
  </si>
  <si>
    <t>Total Contrib. (Tix+F&amp;B−Op)</t>
  </si>
  <si>
    <t>Months to Recoup</t>
  </si>
  <si>
    <t>95%</t>
  </si>
  <si>
    <t>55%</t>
  </si>
  <si>
    <t>45%</t>
  </si>
  <si>
    <t>BREAKEVEN CAPACITY:</t>
  </si>
  <si>
    <t>Breakeven Weekly GWBOR:</t>
  </si>
  <si>
    <t>Breakeven Avg Tickets / Show:</t>
  </si>
  <si>
    <t>Notes:</t>
  </si>
  <si>
    <t>• REVISED: Weekly contribution now includes F&amp;B/Merch net revenue ($XX/wk at 100%) — see Seating Plan.</t>
  </si>
  <si>
    <t>• Only ~3% of weekly op varies with capacity (CC fees). No royalties means far more fixed overhead.</t>
  </si>
  <si>
    <t>• NO ROYALTY model means breakeven is determined almost entirely by fixed weekly operating costs.</t>
  </si>
  <si>
    <t>• Show scheduled for 60-week run; any scenario requiring &gt;60 weeks does not recoup within the run.</t>
  </si>
  <si>
    <t>• Does NOT include bar, gift shop, concessions revenue — these are real upside with expanded lobby.</t>
  </si>
  <si>
    <t>• Bar + gift shop could add 15-25% to gross revenue — conservative models add $15-30K/wk.</t>
  </si>
  <si>
    <t>• Without royalties, creative team has zero upside participation — may limit future revivals/licensing.</t>
  </si>
  <si>
    <t>as of: 4/27/26</t>
  </si>
  <si>
    <t>EVENTS / SECOND BUSINESS — UPSIDE SCENARIO</t>
  </si>
  <si>
    <t>Venue rentals on dark days (Mon–Wed + weekday daytime). NOT included in main budget recoupment math.</t>
  </si>
  <si>
    <t>OPPORTUNITY CONTEXT</t>
  </si>
  <si>
    <t>The show occupies the venue Thu–Sun evenings + weekend afternoons. Mon–Wed and weekday daytime sit dark.</t>
  </si>
  <si>
    <t>That's ~3.5 fully rentable days/week × 60 weeks = ~210 day-equivalents of unused premium real estate.</t>
  </si>
  <si>
    <t>VENUE ASSETS (LA Market Rates)</t>
  </si>
  <si>
    <t>Asset</t>
  </si>
  <si>
    <t>Low ($/day)</t>
  </si>
  <si>
    <t>High ($/day)</t>
  </si>
  <si>
    <t>110-ft permanent LED wall</t>
  </si>
  <si>
    <t>LA's most dramatic indoor screen</t>
  </si>
  <si>
    <t>Real bar program</t>
  </si>
  <si>
    <t>64-ft bar, neon, leather booths, VIP zone</t>
  </si>
  <si>
    <t>150-seat proscenium theater</t>
  </si>
  <si>
    <t>With stage</t>
  </si>
  <si>
    <t>Outdoor red-carpet courtyard</t>
  </si>
  <si>
    <t>With marquee — premiere-tier, rare in LA</t>
  </si>
  <si>
    <t>30,000 sq ft of versatile space</t>
  </si>
  <si>
    <t>500+ guest cocktail capacity</t>
  </si>
  <si>
    <t>Arts District location</t>
  </si>
  <si>
    <t>—</t>
  </si>
  <si>
    <t>Premium real estate; included in above</t>
  </si>
  <si>
    <t>WHAT WE SELL</t>
  </si>
  <si>
    <t>Offering</t>
  </si>
  <si>
    <t>Low Rate</t>
  </si>
  <si>
    <t>High Rate</t>
  </si>
  <si>
    <t>Use Case</t>
  </si>
  <si>
    <t>Full venue buyout</t>
  </si>
  <si>
    <t>Premieres, brand activations, wrap parties</t>
  </si>
  <si>
    <t>Single-space rental</t>
  </si>
  <si>
    <t>All-hands, product launches, dinners</t>
  </si>
  <si>
    <t>Production / filming day rate</t>
  </si>
  <si>
    <t>Music videos, commercials, photo shoots</t>
  </si>
  <si>
    <t>Recurring programs</t>
  </si>
  <si>
    <t>Comedy nights, podcast tapings, salons</t>
  </si>
  <si>
    <t>RUN-PERIOD REVENUE SCENARIOS (60 weeks)</t>
  </si>
  <si>
    <t>Scenario</t>
  </si>
  <si>
    <t>Utilization</t>
  </si>
  <si>
    <t>Avg Day Rate</t>
  </si>
  <si>
    <t>Run Gross</t>
  </si>
  <si>
    <t>Direct Costs</t>
  </si>
  <si>
    <t>Run Net</t>
  </si>
  <si>
    <t>Conservative</t>
  </si>
  <si>
    <t>Moderate</t>
  </si>
  <si>
    <t>Aggressive</t>
  </si>
  <si>
    <t>WHAT IT COSTS TO UNLOCK</t>
  </si>
  <si>
    <t>Director of Venue Sales &amp; Events:</t>
  </si>
  <si>
    <t>/year</t>
  </si>
  <si>
    <t>The only line required to make this real. Pays for itself in 6–8 events. Not currently in main budget.</t>
  </si>
  <si>
    <t>COMBINED PICTURE (Budget + Events Upside)</t>
  </si>
  <si>
    <t>Total Capitalization (no change):</t>
  </si>
  <si>
    <t>Investor Tier (55%):</t>
  </si>
  <si>
    <t>Show Weekly Contribution @ 80% capacity:</t>
  </si>
  <si>
    <t>Events Net Contribution (weekly avg):</t>
  </si>
  <si>
    <t xml:space="preserve">  Conservative scenario:</t>
  </si>
  <si>
    <t>/wk total</t>
  </si>
  <si>
    <t xml:space="preserve">  Moderate scenario:</t>
  </si>
  <si>
    <t xml:space="preserve">  Aggressive scenario:</t>
  </si>
  <si>
    <t>• This sheet models the second-business opportunity from the dark days (Mon-Wed + weekday daytime).</t>
  </si>
  <si>
    <t>• Numbers are NOT included in the main Recoupment math — treat as upside scenario only.</t>
  </si>
  <si>
    <t>• Day rates derived from LA market comps for similar premium event venues.</t>
  </si>
  <si>
    <t>• Direct costs 25% accounts for event staffing, F&amp;B for events, cleaning, utilities premium.</t>
  </si>
  <si>
    <t>• Director of Venue Sales position ($85K/yr) is the only required new hire to unlock this revenue.</t>
  </si>
  <si>
    <t>• A successful events program could shorten investor recoupment by 6-12 months at the moderate scenario.</t>
  </si>
  <si>
    <t>• Aggressive scenario (~65% utilization) would require sales/events team beyond the single director.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</si>
</sst>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;&quot;($&quot;#,##0\);\-"/>
    <numFmt numFmtId="165" formatCode="0.0%"/>
    <numFmt numFmtId="166" formatCode="#,##0;\(#,##0\);\-"/>
    <numFmt numFmtId="167" formatCode="#,##0.0"/>
  </numFmts>
  <fonts count="3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1F3864"/>
      <name val="Arial"/>
    </font>
    <font>
      <i/>
      <sz val="10.0"/>
      <color rgb="FF404040"/>
      <name val="Arial"/>
    </font>
    <font>
      <b/>
      <sz val="9.0"/>
      <color rgb="FFFFFFFF"/>
      <name val="Arial"/>
    </font>
    <font/>
    <font>
      <b/>
      <sz val="28.0"/>
      <color rgb="FF1F3864"/>
      <name val="Arial"/>
    </font>
    <font>
      <sz val="10.0"/>
      <color rgb="FF000000"/>
      <name val="Arial"/>
    </font>
    <font>
      <b/>
      <sz val="11.0"/>
      <color rgb="FF1F3864"/>
      <name val="Arial"/>
    </font>
    <font>
      <i/>
      <sz val="9.0"/>
      <color rgb="FF404040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b/>
      <i/>
      <sz val="9.0"/>
      <color rgb="FF000000"/>
      <name val="Arial"/>
    </font>
    <font>
      <b/>
      <sz val="10.0"/>
      <color rgb="FF1F3864"/>
      <name val="Arial"/>
    </font>
    <font>
      <b/>
      <sz val="18.0"/>
      <color rgb="FF1F3864"/>
      <name val="Arial"/>
    </font>
    <font>
      <b/>
      <sz val="20.0"/>
      <color rgb="FF1F3864"/>
      <name val="Arial"/>
    </font>
    <font>
      <b/>
      <sz val="20.0"/>
      <color rgb="FFC00000"/>
      <name val="Arial"/>
    </font>
    <font>
      <b/>
      <sz val="20.0"/>
      <color rgb="FF4472C4"/>
      <name val="Arial"/>
    </font>
    <font>
      <b/>
      <sz val="22.0"/>
      <color rgb="FF1F3864"/>
      <name val="Arial"/>
    </font>
    <font>
      <b/>
      <sz val="22.0"/>
      <color rgb="FFC00000"/>
      <name val="Arial"/>
    </font>
    <font>
      <b/>
      <sz val="22.0"/>
      <color rgb="FF4472C4"/>
      <name val="Arial"/>
    </font>
    <font>
      <b/>
      <sz val="22.0"/>
      <color rgb="FF404040"/>
      <name val="Arial"/>
    </font>
    <font>
      <b/>
      <i/>
      <sz val="10.0"/>
      <color rgb="FF000000"/>
      <name val="Arial"/>
    </font>
    <font>
      <sz val="11.0"/>
      <color rgb="FF000000"/>
      <name val="Arial"/>
    </font>
    <font>
      <b/>
      <sz val="12.0"/>
      <color rgb="FFFFFFFF"/>
      <name val="Arial"/>
    </font>
    <font>
      <i/>
      <sz val="9.0"/>
      <color rgb="FFC00000"/>
      <name val="Arial"/>
    </font>
    <font>
      <sz val="9.0"/>
      <color theme="1"/>
      <name val="Arial"/>
    </font>
    <font>
      <b/>
      <sz val="10.0"/>
      <color rgb="FFC00000"/>
      <name val="Arial"/>
    </font>
    <font>
      <i/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8000"/>
      <name val="Arial"/>
    </font>
    <font>
      <b/>
      <sz val="10.0"/>
      <color theme="1"/>
      <name val="Arial"/>
    </font>
    <font>
      <sz val="10.0"/>
      <color rgb="FF0000FF"/>
      <name val="Arial"/>
    </font>
    <font>
      <i/>
      <sz val="9.0"/>
      <color rgb="FF595959"/>
      <name val="Arial"/>
    </font>
    <font>
      <i/>
      <sz val="9.0"/>
      <color rgb="FFFFFFFF"/>
      <name val="Arial"/>
    </font>
    <font>
      <b/>
      <i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5A9B"/>
        <bgColor rgb="FF2E5A9B"/>
      </patternFill>
    </fill>
    <fill>
      <patternFill patternType="solid">
        <fgColor rgb="FFC00000"/>
        <bgColor rgb="FFC00000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404040"/>
        <bgColor rgb="FF404040"/>
      </patternFill>
    </fill>
    <fill>
      <patternFill patternType="solid">
        <fgColor rgb="FFFFE699"/>
        <bgColor rgb="FFFFE699"/>
      </patternFill>
    </fill>
    <fill>
      <patternFill patternType="solid">
        <fgColor rgb="FF548235"/>
        <bgColor rgb="FF548235"/>
      </patternFill>
    </fill>
  </fills>
  <borders count="11">
    <border/>
    <border>
      <left/>
      <right/>
      <top/>
      <bottom/>
    </border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top/>
      <bottom/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2" fillId="2" fontId="4" numFmtId="0" xfId="0" applyAlignment="1" applyBorder="1" applyFont="1">
      <alignment horizontal="left" shrinkToFit="0" vertical="center" wrapText="0"/>
    </xf>
    <xf borderId="3" fillId="0" fontId="5" numFmtId="0" xfId="0" applyBorder="1" applyFont="1"/>
    <xf borderId="4" fillId="3" fontId="6" numFmtId="164" xfId="0" applyAlignment="1" applyBorder="1" applyFill="1" applyFont="1" applyNumberFormat="1">
      <alignment horizontal="center" shrinkToFit="0" vertical="center" wrapText="0"/>
    </xf>
    <xf borderId="5" fillId="0" fontId="5" numFmtId="0" xfId="0" applyBorder="1" applyFont="1"/>
    <xf borderId="0" fillId="0" fontId="7" numFmtId="0" xfId="0" applyAlignment="1" applyFont="1">
      <alignment horizontal="left" shrinkToFit="0" vertical="center" wrapText="0"/>
    </xf>
    <xf borderId="0" fillId="0" fontId="8" numFmtId="164" xfId="0" applyAlignment="1" applyFont="1" applyNumberFormat="1">
      <alignment horizontal="right" shrinkToFit="0" vertical="center" wrapText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2" fillId="3" fontId="9" numFmtId="0" xfId="0" applyAlignment="1" applyBorder="1" applyFont="1">
      <alignment horizontal="center" shrinkToFit="0" vertical="center" wrapText="0"/>
    </xf>
    <xf borderId="0" fillId="0" fontId="8" numFmtId="165" xfId="0" applyAlignment="1" applyFont="1" applyNumberFormat="1">
      <alignment horizontal="right" shrinkToFit="0" vertical="center" wrapText="0"/>
    </xf>
    <xf borderId="2" fillId="4" fontId="4" numFmtId="0" xfId="0" applyAlignment="1" applyBorder="1" applyFill="1" applyFont="1">
      <alignment horizontal="left" shrinkToFit="0" vertical="center" wrapText="0"/>
    </xf>
    <xf borderId="0" fillId="0" fontId="7" numFmtId="164" xfId="0" applyAlignment="1" applyFont="1" applyNumberFormat="1">
      <alignment horizontal="right" shrinkToFit="0" vertical="center" wrapText="0"/>
    </xf>
    <xf borderId="1" fillId="5" fontId="10" numFmtId="0" xfId="0" applyAlignment="1" applyBorder="1" applyFill="1" applyFont="1">
      <alignment horizontal="left" shrinkToFit="0" vertical="center" wrapText="0"/>
    </xf>
    <xf borderId="1" fillId="5" fontId="10" numFmtId="164" xfId="0" applyAlignment="1" applyBorder="1" applyFont="1" applyNumberFormat="1">
      <alignment horizontal="right" shrinkToFit="0" vertical="center" wrapText="0"/>
    </xf>
    <xf borderId="1" fillId="6" fontId="11" numFmtId="0" xfId="0" applyAlignment="1" applyBorder="1" applyFill="1" applyFont="1">
      <alignment horizontal="left" shrinkToFit="0" vertical="center" wrapText="0"/>
    </xf>
    <xf borderId="1" fillId="6" fontId="11" numFmtId="164" xfId="0" applyAlignment="1" applyBorder="1" applyFont="1" applyNumberFormat="1">
      <alignment horizontal="right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10" fillId="0" fontId="5" numFmtId="0" xfId="0" applyBorder="1" applyFont="1"/>
    <xf borderId="1" fillId="6" fontId="12" numFmtId="0" xfId="0" applyAlignment="1" applyBorder="1" applyFont="1">
      <alignment horizontal="left" shrinkToFit="0" vertical="center" wrapText="0"/>
    </xf>
    <xf borderId="1" fillId="6" fontId="12" numFmtId="0" xfId="0" applyAlignment="1" applyBorder="1" applyFont="1">
      <alignment horizontal="right" shrinkToFit="0" vertical="center" wrapText="0"/>
    </xf>
    <xf borderId="1" fillId="0" fontId="12" numFmtId="0" xfId="0" applyAlignment="1" applyBorder="1" applyFont="1">
      <alignment horizontal="right"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13" numFmtId="3" xfId="0" applyAlignment="1" applyFont="1" applyNumberFormat="1">
      <alignment horizontal="right" shrinkToFit="0" vertical="center" wrapText="0"/>
    </xf>
    <xf borderId="0" fillId="0" fontId="9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0"/>
    </xf>
    <xf borderId="2" fillId="2" fontId="10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1"/>
    </xf>
    <xf borderId="2" fillId="2" fontId="4" numFmtId="0" xfId="0" applyAlignment="1" applyBorder="1" applyFont="1">
      <alignment horizontal="center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2" fillId="3" fontId="15" numFmtId="164" xfId="0" applyAlignment="1" applyBorder="1" applyFont="1" applyNumberFormat="1">
      <alignment horizontal="center" shrinkToFit="0" vertical="center" wrapText="0"/>
    </xf>
    <xf borderId="2" fillId="3" fontId="16" numFmtId="164" xfId="0" applyAlignment="1" applyBorder="1" applyFont="1" applyNumberFormat="1">
      <alignment horizontal="center" shrinkToFit="0" vertical="center" wrapText="0"/>
    </xf>
    <xf borderId="1" fillId="3" fontId="17" numFmtId="164" xfId="0" applyAlignment="1" applyBorder="1" applyFont="1" applyNumberFormat="1">
      <alignment horizontal="center" shrinkToFit="0" vertical="center" wrapText="0"/>
    </xf>
    <xf borderId="2" fillId="6" fontId="12" numFmtId="0" xfId="0" applyAlignment="1" applyBorder="1" applyFont="1">
      <alignment horizontal="left" shrinkToFit="0" vertical="center" wrapText="0"/>
    </xf>
    <xf borderId="0" fillId="0" fontId="7" numFmtId="165" xfId="0" applyAlignment="1" applyFont="1" applyNumberFormat="1">
      <alignment horizontal="right" shrinkToFit="0" vertical="center" wrapText="0"/>
    </xf>
    <xf borderId="1" fillId="5" fontId="10" numFmtId="165" xfId="0" applyAlignment="1" applyBorder="1" applyFont="1" applyNumberFormat="1">
      <alignment horizontal="right" shrinkToFit="0" vertical="center" wrapText="0"/>
    </xf>
    <xf borderId="2" fillId="5" fontId="1" numFmtId="0" xfId="0" applyAlignment="1" applyBorder="1" applyFont="1">
      <alignment shrinkToFit="0" vertical="bottom" wrapText="0"/>
    </xf>
    <xf borderId="1" fillId="6" fontId="12" numFmtId="0" xfId="0" applyAlignment="1" applyBorder="1" applyFont="1">
      <alignment horizontal="center" shrinkToFit="0" vertical="center" wrapText="0"/>
    </xf>
    <xf borderId="0" fillId="0" fontId="7" numFmtId="3" xfId="0" applyAlignment="1" applyFont="1" applyNumberFormat="1">
      <alignment horizontal="right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2" fillId="5" fontId="4" numFmtId="0" xfId="0" applyAlignment="1" applyBorder="1" applyFont="1">
      <alignment horizontal="center" shrinkToFit="0" vertical="center" wrapText="0"/>
    </xf>
    <xf borderId="4" fillId="3" fontId="18" numFmtId="164" xfId="0" applyAlignment="1" applyBorder="1" applyFont="1" applyNumberFormat="1">
      <alignment horizontal="center" shrinkToFit="0" vertical="center" wrapText="0"/>
    </xf>
    <xf borderId="4" fillId="3" fontId="19" numFmtId="164" xfId="0" applyAlignment="1" applyBorder="1" applyFont="1" applyNumberFormat="1">
      <alignment horizontal="center" shrinkToFit="0" vertical="center" wrapText="0"/>
    </xf>
    <xf borderId="2" fillId="7" fontId="4" numFmtId="0" xfId="0" applyAlignment="1" applyBorder="1" applyFont="1">
      <alignment horizontal="center" shrinkToFit="0" vertical="center" wrapText="0"/>
    </xf>
    <xf borderId="4" fillId="3" fontId="20" numFmtId="0" xfId="0" applyAlignment="1" applyBorder="1" applyFont="1">
      <alignment horizontal="center" shrinkToFit="0" vertical="center" wrapText="0"/>
    </xf>
    <xf borderId="4" fillId="3" fontId="20" numFmtId="166" xfId="0" applyAlignment="1" applyBorder="1" applyFont="1" applyNumberFormat="1">
      <alignment horizontal="center" shrinkToFit="0" vertical="center" wrapText="0"/>
    </xf>
    <xf borderId="2" fillId="8" fontId="4" numFmtId="0" xfId="0" applyAlignment="1" applyBorder="1" applyFill="1" applyFont="1">
      <alignment horizontal="center" shrinkToFit="0" vertical="center" wrapText="0"/>
    </xf>
    <xf borderId="4" fillId="3" fontId="21" numFmtId="0" xfId="0" applyAlignment="1" applyBorder="1" applyFont="1">
      <alignment horizontal="center" shrinkToFit="0" vertical="center" wrapText="0"/>
    </xf>
    <xf borderId="4" fillId="3" fontId="21" numFmtId="166" xfId="0" applyAlignment="1" applyBorder="1" applyFont="1" applyNumberFormat="1">
      <alignment horizontal="center" shrinkToFit="0" vertical="center" wrapText="0"/>
    </xf>
    <xf borderId="2" fillId="2" fontId="10" numFmtId="0" xfId="0" applyAlignment="1" applyBorder="1" applyFont="1">
      <alignment horizontal="center" shrinkToFit="0" vertical="center" wrapText="0"/>
    </xf>
    <xf borderId="2" fillId="6" fontId="22" numFmtId="0" xfId="0" applyAlignment="1" applyBorder="1" applyFont="1">
      <alignment horizontal="left" shrinkToFit="0" vertical="center" wrapText="0"/>
    </xf>
    <xf borderId="1" fillId="6" fontId="22" numFmtId="0" xfId="0" applyAlignment="1" applyBorder="1" applyFont="1">
      <alignment horizontal="right" shrinkToFit="0" vertical="center" wrapText="0"/>
    </xf>
    <xf borderId="0" fillId="0" fontId="23" numFmtId="0" xfId="0" applyAlignment="1" applyFont="1">
      <alignment horizontal="left" shrinkToFit="0" vertical="center" wrapText="0"/>
    </xf>
    <xf borderId="0" fillId="0" fontId="23" numFmtId="164" xfId="0" applyAlignment="1" applyFont="1" applyNumberFormat="1">
      <alignment horizontal="right" shrinkToFit="0" vertical="center" wrapText="0"/>
    </xf>
    <xf borderId="0" fillId="0" fontId="23" numFmtId="165" xfId="0" applyAlignment="1" applyFont="1" applyNumberFormat="1">
      <alignment horizontal="right" shrinkToFit="0" vertical="center" wrapText="0"/>
    </xf>
    <xf borderId="2" fillId="5" fontId="24" numFmtId="0" xfId="0" applyAlignment="1" applyBorder="1" applyFont="1">
      <alignment horizontal="left" shrinkToFit="0" vertical="center" wrapText="0"/>
    </xf>
    <xf borderId="1" fillId="5" fontId="24" numFmtId="164" xfId="0" applyAlignment="1" applyBorder="1" applyFont="1" applyNumberFormat="1">
      <alignment horizontal="right" shrinkToFit="0" vertical="center" wrapText="0"/>
    </xf>
    <xf borderId="1" fillId="5" fontId="24" numFmtId="165" xfId="0" applyAlignment="1" applyBorder="1" applyFont="1" applyNumberFormat="1">
      <alignment horizontal="right" shrinkToFit="0" vertical="center" wrapText="0"/>
    </xf>
    <xf borderId="2" fillId="9" fontId="8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25" numFmtId="0" xfId="0" applyAlignment="1" applyFont="1">
      <alignment shrinkToFit="0" vertical="bottom" wrapText="0"/>
    </xf>
    <xf borderId="0" fillId="0" fontId="25" numFmtId="0" xfId="0" applyAlignment="1" applyFont="1">
      <alignment horizontal="right"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26" numFmtId="0" xfId="0" applyAlignment="1" applyFont="1">
      <alignment horizontal="right" shrinkToFit="0" vertical="bottom" wrapText="0"/>
    </xf>
    <xf borderId="2" fillId="2" fontId="24" numFmtId="0" xfId="0" applyAlignment="1" applyBorder="1" applyFont="1">
      <alignment horizontal="center" shrinkToFit="0" vertical="bottom" wrapText="0"/>
    </xf>
    <xf borderId="2" fillId="2" fontId="28" numFmtId="0" xfId="0" applyAlignment="1" applyBorder="1" applyFont="1">
      <alignment horizontal="center" shrinkToFit="0" vertical="bottom" wrapText="0"/>
    </xf>
    <xf borderId="2" fillId="7" fontId="29" numFmtId="0" xfId="0" applyAlignment="1" applyBorder="1" applyFont="1">
      <alignment horizontal="center" shrinkToFit="0" vertical="bottom" wrapText="0"/>
    </xf>
    <xf borderId="0" fillId="0" fontId="30" numFmtId="0" xfId="0" applyAlignment="1" applyFont="1">
      <alignment shrinkToFit="0" vertical="bottom" wrapText="0"/>
    </xf>
    <xf borderId="0" fillId="0" fontId="31" numFmtId="164" xfId="0" applyAlignment="1" applyFont="1" applyNumberFormat="1">
      <alignment horizontal="right" shrinkToFit="0" vertical="bottom" wrapText="0"/>
    </xf>
    <xf borderId="1" fillId="9" fontId="32" numFmtId="0" xfId="0" applyAlignment="1" applyBorder="1" applyFont="1">
      <alignment shrinkToFit="0" vertical="bottom" wrapText="0"/>
    </xf>
    <xf borderId="1" fillId="9" fontId="32" numFmtId="164" xfId="0" applyAlignment="1" applyBorder="1" applyFont="1" applyNumberFormat="1">
      <alignment horizontal="right" shrinkToFit="0" vertical="bottom" wrapText="0"/>
    </xf>
    <xf borderId="1" fillId="5" fontId="10" numFmtId="0" xfId="0" applyAlignment="1" applyBorder="1" applyFont="1">
      <alignment shrinkToFit="0" vertical="bottom" wrapText="0"/>
    </xf>
    <xf borderId="1" fillId="5" fontId="10" numFmtId="164" xfId="0" applyAlignment="1" applyBorder="1" applyFont="1" applyNumberFormat="1">
      <alignment horizontal="right"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  <xf borderId="1" fillId="9" fontId="32" numFmtId="165" xfId="0" applyAlignment="1" applyBorder="1" applyFont="1" applyNumberFormat="1">
      <alignment horizontal="right" shrinkToFit="0" vertical="bottom" wrapText="0"/>
    </xf>
    <xf borderId="0" fillId="0" fontId="7" numFmtId="167" xfId="0" applyAlignment="1" applyFont="1" applyNumberFormat="1">
      <alignment horizontal="right" shrinkToFit="0" vertical="bottom" wrapText="0"/>
    </xf>
    <xf borderId="1" fillId="7" fontId="29" numFmtId="0" xfId="0" applyAlignment="1" applyBorder="1" applyFont="1">
      <alignment horizontal="center" shrinkToFit="0" vertical="bottom" wrapText="0"/>
    </xf>
    <xf borderId="1" fillId="6" fontId="32" numFmtId="0" xfId="0" applyAlignment="1" applyBorder="1" applyFont="1">
      <alignment shrinkToFit="0" vertical="bottom" wrapText="0"/>
    </xf>
    <xf borderId="1" fillId="6" fontId="32" numFmtId="0" xfId="0" applyAlignment="1" applyBorder="1" applyFont="1">
      <alignment horizontal="right" shrinkToFit="0" vertical="bottom" wrapText="0"/>
    </xf>
    <xf borderId="2" fillId="6" fontId="32" numFmtId="0" xfId="0" applyAlignment="1" applyBorder="1" applyFont="1">
      <alignment shrinkToFit="0" vertical="bottom" wrapText="0"/>
    </xf>
    <xf borderId="0" fillId="0" fontId="33" numFmtId="165" xfId="0" applyAlignment="1" applyFont="1" applyNumberFormat="1">
      <alignment horizontal="right" shrinkToFit="0" vertical="bottom" wrapText="0"/>
    </xf>
    <xf borderId="0" fillId="0" fontId="34" numFmtId="0" xfId="0" applyAlignment="1" applyFont="1">
      <alignment horizontal="left" shrinkToFit="0" vertical="bottom" wrapText="1"/>
    </xf>
    <xf borderId="0" fillId="0" fontId="32" numFmtId="0" xfId="0" applyAlignment="1" applyFont="1">
      <alignment shrinkToFit="0" vertical="bottom" wrapText="0"/>
    </xf>
    <xf borderId="0" fillId="0" fontId="32" numFmtId="0" xfId="0" applyAlignment="1" applyFont="1">
      <alignment horizontal="left" shrinkToFit="0" vertical="bottom" wrapText="1"/>
    </xf>
    <xf borderId="0" fillId="0" fontId="33" numFmtId="3" xfId="0" applyAlignment="1" applyFont="1" applyNumberFormat="1">
      <alignment horizontal="right" shrinkToFit="0" vertical="bottom" wrapText="0"/>
    </xf>
    <xf borderId="0" fillId="0" fontId="33" numFmtId="0" xfId="0" applyAlignment="1" applyFont="1">
      <alignment horizontal="right" shrinkToFit="0" vertical="bottom" wrapText="0"/>
    </xf>
    <xf borderId="0" fillId="0" fontId="33" numFmtId="164" xfId="0" applyAlignment="1" applyFont="1" applyNumberFormat="1">
      <alignment horizontal="right" shrinkToFit="0" vertical="bottom" wrapText="0"/>
    </xf>
    <xf borderId="2" fillId="2" fontId="35" numFmtId="0" xfId="0" applyAlignment="1" applyBorder="1" applyFont="1">
      <alignment horizontal="center" shrinkToFit="0" vertical="bottom" wrapText="0"/>
    </xf>
    <xf borderId="2" fillId="7" fontId="29" numFmtId="0" xfId="0" applyAlignment="1" applyBorder="1" applyFont="1">
      <alignment shrinkToFit="0" vertical="bottom" wrapText="0"/>
    </xf>
    <xf borderId="0" fillId="0" fontId="36" numFmtId="0" xfId="0" applyAlignment="1" applyFont="1">
      <alignment horizontal="right" shrinkToFit="0" vertical="bottom" wrapText="0"/>
    </xf>
    <xf borderId="0" fillId="0" fontId="33" numFmtId="166" xfId="0" applyAlignment="1" applyFont="1" applyNumberFormat="1">
      <alignment horizontal="righ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3" numFmtId="164" xfId="0" applyAlignment="1" applyFont="1" applyNumberFormat="1">
      <alignment horizontal="right" readingOrder="0"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33" numFmtId="166" xfId="0" applyAlignment="1" applyFont="1" applyNumberFormat="1">
      <alignment horizontal="right" readingOrder="0" shrinkToFit="0" vertical="bottom" wrapText="0"/>
    </xf>
    <xf borderId="1" fillId="5" fontId="10" numFmtId="0" xfId="0" applyAlignment="1" applyBorder="1" applyFont="1">
      <alignment horizontal="left" shrinkToFit="0" vertical="bottom" wrapText="0"/>
    </xf>
    <xf borderId="1" fillId="10" fontId="10" numFmtId="0" xfId="0" applyAlignment="1" applyBorder="1" applyFill="1" applyFont="1">
      <alignment horizontal="left" shrinkToFit="0" vertical="bottom" wrapText="0"/>
    </xf>
    <xf borderId="1" fillId="10" fontId="10" numFmtId="164" xfId="0" applyAlignment="1" applyBorder="1" applyFont="1" applyNumberFormat="1">
      <alignment horizontal="right" shrinkToFit="0" vertical="bottom" wrapText="0"/>
    </xf>
    <xf borderId="0" fillId="0" fontId="34" numFmtId="0" xfId="0" applyAlignment="1" applyFont="1">
      <alignment horizontal="left" shrinkToFit="0" vertical="center" wrapText="1"/>
    </xf>
    <xf borderId="1" fillId="9" fontId="32" numFmtId="166" xfId="0" applyAlignment="1" applyBorder="1" applyFont="1" applyNumberFormat="1">
      <alignment horizontal="right" shrinkToFit="0" vertical="bottom" wrapText="0"/>
    </xf>
    <xf borderId="1" fillId="6" fontId="36" numFmtId="0" xfId="0" applyAlignment="1" applyBorder="1" applyFont="1">
      <alignment shrinkToFit="0" vertical="bottom" wrapText="0"/>
    </xf>
    <xf borderId="1" fillId="6" fontId="36" numFmtId="0" xfId="0" applyAlignment="1" applyBorder="1" applyFont="1">
      <alignment horizontal="right" shrinkToFit="0" vertical="bottom" wrapText="0"/>
    </xf>
    <xf borderId="0" fillId="0" fontId="7" numFmtId="166" xfId="0" applyAlignment="1" applyFont="1" applyNumberFormat="1">
      <alignment horizontal="right" shrinkToFit="0" vertical="bottom" wrapText="0"/>
    </xf>
    <xf borderId="0" fillId="0" fontId="36" numFmtId="0" xfId="0" applyAlignment="1" applyFont="1">
      <alignment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0" fillId="0" fontId="30" numFmtId="0" xfId="0" applyAlignment="1" applyFont="1">
      <alignment horizontal="left" shrinkToFit="0" vertical="center" wrapText="1"/>
    </xf>
    <xf borderId="2" fillId="6" fontId="36" numFmtId="0" xfId="0" applyAlignment="1" applyBorder="1" applyFont="1">
      <alignment shrinkToFit="0" vertical="bottom" wrapText="0"/>
    </xf>
    <xf borderId="0" fillId="0" fontId="30" numFmtId="0" xfId="0" applyAlignment="1" applyFont="1">
      <alignment horizontal="right" shrinkToFit="0" vertical="bottom" wrapText="0"/>
    </xf>
    <xf borderId="0" fillId="0" fontId="3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3" width="16.0"/>
    <col customWidth="1" min="4" max="4" width="10.29"/>
    <col customWidth="1" min="5" max="5" width="38.0"/>
    <col customWidth="1" min="6" max="6" width="16.0"/>
    <col customWidth="1" min="7" max="7" width="14.57"/>
    <col customWidth="1" min="8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25.5" customHeight="1">
      <c r="A2" s="2"/>
      <c r="B2" s="3" t="s">
        <v>0</v>
      </c>
      <c r="G2" s="2"/>
    </row>
    <row r="3" ht="15.0" customHeight="1">
      <c r="A3" s="2"/>
      <c r="B3" s="4" t="s">
        <v>1</v>
      </c>
      <c r="G3" s="2"/>
    </row>
    <row r="4" ht="3.75" customHeight="1">
      <c r="A4" s="2"/>
      <c r="B4" s="2"/>
      <c r="C4" s="2"/>
      <c r="D4" s="2"/>
      <c r="E4" s="2"/>
      <c r="F4" s="2"/>
      <c r="G4" s="2"/>
    </row>
    <row r="5" ht="18.0" customHeight="1">
      <c r="A5" s="2"/>
      <c r="B5" s="5" t="s">
        <v>2</v>
      </c>
      <c r="C5" s="6"/>
      <c r="D5" s="2"/>
      <c r="E5" s="5" t="s">
        <v>3</v>
      </c>
      <c r="F5" s="6"/>
      <c r="G5" s="2"/>
    </row>
    <row r="6" ht="15.75" customHeight="1">
      <c r="A6" s="2"/>
      <c r="B6" s="7">
        <f>'Production Budget'!F263</f>
        <v>6047850.288</v>
      </c>
      <c r="C6" s="8"/>
      <c r="D6" s="2"/>
      <c r="E6" s="9" t="s">
        <v>4</v>
      </c>
      <c r="F6" s="10">
        <f>'Seating Plan'!F26</f>
        <v>163000</v>
      </c>
      <c r="G6" s="2"/>
    </row>
    <row r="7" ht="15.75" customHeight="1">
      <c r="A7" s="2"/>
      <c r="B7" s="11"/>
      <c r="C7" s="12"/>
      <c r="D7" s="2"/>
      <c r="E7" s="9" t="s">
        <v>5</v>
      </c>
      <c r="F7" s="10">
        <f>'Weekly Operating'!F124</f>
        <v>135757</v>
      </c>
      <c r="G7" s="2"/>
    </row>
    <row r="8" ht="15.75" customHeight="1">
      <c r="A8" s="2"/>
      <c r="B8" s="13"/>
      <c r="C8" s="14"/>
      <c r="D8" s="2"/>
      <c r="E8" s="9" t="s">
        <v>6</v>
      </c>
      <c r="F8" s="10">
        <f>'Seating Plan'!F26+'Seating Plan'!G57-'Weekly Operating'!F124</f>
        <v>44073</v>
      </c>
      <c r="G8" s="2"/>
    </row>
    <row r="9" ht="15.75" customHeight="1">
      <c r="A9" s="2"/>
      <c r="B9" s="15" t="s">
        <v>7</v>
      </c>
      <c r="C9" s="6"/>
      <c r="D9" s="2"/>
      <c r="E9" s="9" t="s">
        <v>8</v>
      </c>
      <c r="F9" s="16">
        <f>Recoupment!C28</f>
        <v>0.748067909</v>
      </c>
      <c r="G9" s="2"/>
    </row>
    <row r="10" ht="15.75" customHeight="1">
      <c r="A10" s="2"/>
      <c r="B10" s="2"/>
      <c r="C10" s="2"/>
      <c r="D10" s="2"/>
      <c r="E10" s="9" t="s">
        <v>9</v>
      </c>
      <c r="F10" s="10">
        <f>'Seating Plan'!F26/'Seating Plan'!C9</f>
        <v>90.55555556</v>
      </c>
      <c r="G10" s="2"/>
    </row>
    <row r="11" ht="9.75" customHeight="1">
      <c r="A11" s="2"/>
      <c r="B11" s="2"/>
      <c r="C11" s="2"/>
      <c r="D11" s="2"/>
      <c r="E11" s="2"/>
      <c r="F11" s="2"/>
      <c r="G11" s="2"/>
    </row>
    <row r="12" ht="15.0" customHeight="1">
      <c r="A12" s="2"/>
      <c r="B12" s="17" t="s">
        <v>10</v>
      </c>
      <c r="C12" s="6"/>
      <c r="D12" s="2"/>
      <c r="E12" s="17" t="s">
        <v>11</v>
      </c>
      <c r="F12" s="6"/>
      <c r="G12" s="2"/>
    </row>
    <row r="13" ht="13.5" customHeight="1">
      <c r="A13" s="2"/>
      <c r="B13" s="9" t="s">
        <v>12</v>
      </c>
      <c r="C13" s="18">
        <f>'Production Budget'!F40</f>
        <v>2314250</v>
      </c>
      <c r="D13" s="2"/>
      <c r="E13" s="9" t="s">
        <v>13</v>
      </c>
      <c r="F13" s="18">
        <f>'Weekly Operating'!F21</f>
        <v>9300</v>
      </c>
      <c r="G13" s="2"/>
    </row>
    <row r="14" ht="13.5" customHeight="1">
      <c r="A14" s="2"/>
      <c r="B14" s="9" t="s">
        <v>14</v>
      </c>
      <c r="C14" s="18">
        <f>'Production Budget'!F90</f>
        <v>1008879</v>
      </c>
      <c r="D14" s="2"/>
      <c r="E14" s="9" t="s">
        <v>15</v>
      </c>
      <c r="F14" s="18">
        <f>'Weekly Operating'!F37</f>
        <v>8400</v>
      </c>
      <c r="G14" s="2"/>
    </row>
    <row r="15" ht="13.5" customHeight="1">
      <c r="A15" s="2"/>
      <c r="B15" s="9" t="s">
        <v>16</v>
      </c>
      <c r="C15" s="18">
        <f>'Production Budget'!F135</f>
        <v>394919.48</v>
      </c>
      <c r="D15" s="2"/>
      <c r="E15" s="9" t="s">
        <v>17</v>
      </c>
      <c r="F15" s="18">
        <f>'Weekly Operating'!F84</f>
        <v>81007</v>
      </c>
      <c r="G15" s="2"/>
    </row>
    <row r="16" ht="13.5" customHeight="1">
      <c r="A16" s="2"/>
      <c r="B16" s="9" t="s">
        <v>18</v>
      </c>
      <c r="C16" s="18">
        <f>'Production Budget'!F150</f>
        <v>53500</v>
      </c>
      <c r="D16" s="2"/>
      <c r="E16" s="9" t="s">
        <v>19</v>
      </c>
      <c r="F16" s="18">
        <f>'Weekly Operating'!F97</f>
        <v>25500</v>
      </c>
      <c r="G16" s="2"/>
    </row>
    <row r="17" ht="13.5" customHeight="1">
      <c r="A17" s="2"/>
      <c r="B17" s="9" t="s">
        <v>20</v>
      </c>
      <c r="C17" s="18">
        <f>'Production Budget'!F166</f>
        <v>51400</v>
      </c>
      <c r="D17" s="2"/>
      <c r="E17" s="9" t="s">
        <v>21</v>
      </c>
      <c r="F17" s="18">
        <f>'Weekly Operating'!F110</f>
        <v>8400</v>
      </c>
      <c r="G17" s="2"/>
    </row>
    <row r="18" ht="13.5" customHeight="1">
      <c r="A18" s="2"/>
      <c r="B18" s="9" t="s">
        <v>22</v>
      </c>
      <c r="C18" s="18">
        <f>'Production Budget'!F187</f>
        <v>775500</v>
      </c>
      <c r="D18" s="2"/>
      <c r="E18" s="9" t="s">
        <v>23</v>
      </c>
      <c r="F18" s="18">
        <f>'Weekly Operating'!F122</f>
        <v>3150</v>
      </c>
      <c r="G18" s="2"/>
    </row>
    <row r="19" ht="13.5" customHeight="1">
      <c r="A19" s="2"/>
      <c r="B19" s="9" t="s">
        <v>24</v>
      </c>
      <c r="C19" s="18">
        <f>'Production Budget'!F210</f>
        <v>190793.6</v>
      </c>
      <c r="D19" s="2"/>
      <c r="E19" s="9"/>
      <c r="F19" s="2"/>
      <c r="G19" s="2"/>
    </row>
    <row r="20" ht="13.5" customHeight="1">
      <c r="A20" s="2"/>
      <c r="B20" s="9" t="s">
        <v>23</v>
      </c>
      <c r="C20" s="18">
        <f>'Production Budget'!F225</f>
        <v>174700</v>
      </c>
      <c r="D20" s="2"/>
      <c r="E20" s="9"/>
      <c r="F20" s="2"/>
      <c r="G20" s="2"/>
    </row>
    <row r="21" ht="18.0" customHeight="1">
      <c r="A21" s="2"/>
      <c r="B21" s="9" t="s">
        <v>25</v>
      </c>
      <c r="C21" s="18">
        <f>'Production Budget'!F233</f>
        <v>75000</v>
      </c>
      <c r="D21" s="2"/>
      <c r="E21" s="19" t="s">
        <v>26</v>
      </c>
      <c r="F21" s="20">
        <f>'Weekly Operating'!F124</f>
        <v>135757</v>
      </c>
      <c r="G21" s="2"/>
    </row>
    <row r="22" ht="15.0" customHeight="1">
      <c r="A22" s="2"/>
      <c r="B22" s="21" t="s">
        <v>27</v>
      </c>
      <c r="C22" s="22">
        <f>'Production Budget'!F235</f>
        <v>5038942.08</v>
      </c>
      <c r="D22" s="2"/>
      <c r="E22" s="2"/>
      <c r="F22" s="2"/>
      <c r="G22" s="2"/>
    </row>
    <row r="23" ht="15.0" customHeight="1">
      <c r="A23" s="2"/>
      <c r="B23" s="9" t="s">
        <v>28</v>
      </c>
      <c r="C23" s="18">
        <f>'Production Budget'!F252</f>
        <v>233500</v>
      </c>
      <c r="D23" s="2"/>
      <c r="E23" s="2"/>
      <c r="F23" s="2"/>
      <c r="G23" s="2"/>
    </row>
    <row r="24" ht="15.0" customHeight="1">
      <c r="A24" s="2"/>
      <c r="B24" s="9" t="s">
        <v>29</v>
      </c>
      <c r="C24" s="18">
        <f>'Production Budget'!F261</f>
        <v>775408.208</v>
      </c>
      <c r="D24" s="2"/>
      <c r="E24" s="2"/>
      <c r="F24" s="2"/>
      <c r="G24" s="2"/>
    </row>
    <row r="25" ht="36.75" customHeight="1">
      <c r="A25" s="2"/>
      <c r="B25" s="19" t="s">
        <v>30</v>
      </c>
      <c r="C25" s="20">
        <f>'Production Budget'!F263</f>
        <v>6047850.288</v>
      </c>
      <c r="D25" s="2"/>
      <c r="E25" s="2"/>
      <c r="F25" s="2"/>
      <c r="G25" s="2"/>
    </row>
    <row r="26" ht="15.0" customHeight="1">
      <c r="A26" s="2"/>
      <c r="B26" s="23"/>
      <c r="C26" s="23"/>
      <c r="D26" s="24"/>
      <c r="E26" s="24"/>
      <c r="F26" s="24"/>
      <c r="G26" s="2"/>
    </row>
    <row r="27" ht="15.0" customHeight="1">
      <c r="A27" s="2"/>
      <c r="B27" s="5" t="s">
        <v>31</v>
      </c>
      <c r="C27" s="25"/>
      <c r="D27" s="25"/>
      <c r="E27" s="25"/>
      <c r="F27" s="6"/>
      <c r="G27" s="2"/>
    </row>
    <row r="28" ht="15.0" customHeight="1">
      <c r="A28" s="2"/>
      <c r="B28" s="26" t="s">
        <v>32</v>
      </c>
      <c r="C28" s="27" t="s">
        <v>33</v>
      </c>
      <c r="D28" s="27" t="s">
        <v>34</v>
      </c>
      <c r="E28" s="27" t="s">
        <v>35</v>
      </c>
      <c r="F28" s="27" t="s">
        <v>36</v>
      </c>
      <c r="G28" s="28"/>
    </row>
    <row r="29" ht="15.0" customHeight="1">
      <c r="A29" s="2"/>
      <c r="B29" s="9" t="s">
        <v>37</v>
      </c>
      <c r="C29" s="18">
        <f>('Seating Plan'!F26*1+'Seating Plan'!G57*1)-(('Weekly Operating'!F124-0.03*'Seating Plan'!F26)+0.03*1*'Seating Plan'!F26)</f>
        <v>44073</v>
      </c>
      <c r="D29" s="18">
        <f>('Seating Plan'!F26*0.9+'Seating Plan'!G57*0.9)-(('Weekly Operating'!F124-0.03*'Seating Plan'!F26)+0.03*0.9*'Seating Plan'!F26)</f>
        <v>26579</v>
      </c>
      <c r="E29" s="18">
        <f>('Seating Plan'!F26*0.8+'Seating Plan'!G57*0.8)-(('Weekly Operating'!F124-0.03*'Seating Plan'!F26)+0.03*0.8*'Seating Plan'!F26)</f>
        <v>9085</v>
      </c>
      <c r="F29" s="18">
        <f>('Seating Plan'!F26*0.75+'Seating Plan'!G57*0.75)-(('Weekly Operating'!F124-0.03*'Seating Plan'!F26)+0.03*0.75*'Seating Plan'!F26)</f>
        <v>338</v>
      </c>
      <c r="G29" s="18"/>
    </row>
    <row r="30" ht="15.0" customHeight="1">
      <c r="A30" s="2"/>
      <c r="B30" s="29" t="s">
        <v>38</v>
      </c>
      <c r="C30" s="30">
        <f>IF(('Seating Plan'!F26*1+'Seating Plan'!G57*1)-(('Weekly Operating'!F124-0.03*'Seating Plan'!F26)+0.03*1*'Seating Plan'!F26)&gt;0,'Production Budget'!F263/(('Seating Plan'!F26*1+'Seating Plan'!G57*1)-(('Weekly Operating'!F124-0.03*'Seating Plan'!F26)+0.03*1*'Seating Plan'!F26)),"—")</f>
        <v>137.2234767</v>
      </c>
      <c r="D30" s="30">
        <f>IF(('Seating Plan'!F26*0.9+'Seating Plan'!G57*0.9)-(('Weekly Operating'!F124-0.03*'Seating Plan'!F26)+0.03*0.9*'Seating Plan'!F26)&gt;0,'Production Budget'!F263/(('Seating Plan'!F26*0.9+'Seating Plan'!G57*0.9)-(('Weekly Operating'!F124-0.03*'Seating Plan'!F26)+0.03*0.9*'Seating Plan'!F26)),"—")</f>
        <v>227.5424315</v>
      </c>
      <c r="E30" s="30">
        <f>IF(('Seating Plan'!F26*0.8+'Seating Plan'!G57*0.8)-(('Weekly Operating'!F124-0.03*'Seating Plan'!F26)+0.03*0.8*'Seating Plan'!F26)&gt;0,'Production Budget'!F263/(('Seating Plan'!F26*0.8+'Seating Plan'!G57*0.8)-(('Weekly Operating'!F124-0.03*'Seating Plan'!F26)+0.03*0.8*'Seating Plan'!F26)),"—")</f>
        <v>665.6962342</v>
      </c>
      <c r="F30" s="30">
        <f>IF(('Seating Plan'!F26*0.75+'Seating Plan'!G57*0.75)-(('Weekly Operating'!F124-0.03*'Seating Plan'!F26)+0.03*0.75*'Seating Plan'!F26)&gt;0,'Production Budget'!F263/(('Seating Plan'!F26*0.75+'Seating Plan'!G57*0.75)-(('Weekly Operating'!F124-0.03*'Seating Plan'!F26)+0.03*0.75*'Seating Plan'!F26)),"—")</f>
        <v>17893.04819</v>
      </c>
      <c r="G30" s="30"/>
    </row>
    <row r="31" ht="15.75" customHeight="1">
      <c r="A31" s="2"/>
      <c r="B31" s="2"/>
      <c r="C31" s="2"/>
      <c r="D31" s="2"/>
      <c r="E31" s="2"/>
      <c r="F31" s="2"/>
      <c r="G31" s="2"/>
    </row>
    <row r="32" ht="15.0" customHeight="1">
      <c r="A32" s="2"/>
      <c r="B32" s="31" t="s">
        <v>39</v>
      </c>
      <c r="G32" s="2"/>
    </row>
    <row r="33" ht="15.0" customHeight="1">
      <c r="A33" s="2"/>
      <c r="B33" s="31" t="s">
        <v>40</v>
      </c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  <row r="1001" ht="15.75" customHeight="1">
      <c r="A1001" s="2"/>
      <c r="B1001" s="2"/>
      <c r="C1001" s="2"/>
      <c r="D1001" s="2"/>
      <c r="E1001" s="2"/>
      <c r="F1001" s="2"/>
      <c r="G1001" s="2"/>
    </row>
  </sheetData>
  <mergeCells count="11">
    <mergeCell ref="E12:F12"/>
    <mergeCell ref="B27:F27"/>
    <mergeCell ref="B32:F32"/>
    <mergeCell ref="B33:F33"/>
    <mergeCell ref="B2:F2"/>
    <mergeCell ref="B3:F3"/>
    <mergeCell ref="B5:C5"/>
    <mergeCell ref="E5:F5"/>
    <mergeCell ref="B6:C8"/>
    <mergeCell ref="B9:C9"/>
    <mergeCell ref="B12:C12"/>
  </mergeCells>
  <printOptions horizontalCentered="1"/>
  <pageMargins bottom="0.5" footer="0.0" header="0.0" left="0.4" right="0.4" top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1.43"/>
    <col customWidth="1" min="3" max="3" width="23.14"/>
    <col customWidth="1" min="4" max="5" width="16.0"/>
    <col customWidth="1" min="6" max="6" width="31.86"/>
    <col customWidth="1" min="7" max="7" width="2.0"/>
    <col customWidth="1" min="8" max="26" width="8.71"/>
  </cols>
  <sheetData>
    <row r="1" ht="15.0" customHeight="1">
      <c r="A1" s="1"/>
      <c r="B1" s="1"/>
      <c r="C1" s="1"/>
      <c r="D1" s="1"/>
      <c r="E1" s="1"/>
      <c r="F1" s="1"/>
      <c r="G1" s="1"/>
    </row>
    <row r="2" ht="27.75" customHeight="1">
      <c r="A2" s="2"/>
      <c r="B2" s="32" t="s">
        <v>0</v>
      </c>
      <c r="G2" s="2"/>
    </row>
    <row r="3" ht="15.0" customHeight="1">
      <c r="A3" s="2"/>
      <c r="B3" s="4" t="s">
        <v>41</v>
      </c>
      <c r="G3" s="2"/>
    </row>
    <row r="4">
      <c r="A4" s="2"/>
      <c r="B4" s="2"/>
      <c r="C4" s="2"/>
      <c r="D4" s="2"/>
      <c r="E4" s="2"/>
      <c r="F4" s="2"/>
      <c r="G4" s="2"/>
    </row>
    <row r="5" ht="19.5" customHeight="1">
      <c r="A5" s="2"/>
      <c r="B5" s="33" t="s">
        <v>42</v>
      </c>
      <c r="C5" s="25"/>
      <c r="D5" s="25"/>
      <c r="E5" s="25"/>
      <c r="F5" s="6"/>
      <c r="G5" s="2"/>
    </row>
    <row r="6" ht="15.75" customHeight="1">
      <c r="A6" s="2"/>
      <c r="B6" s="34" t="s">
        <v>43</v>
      </c>
      <c r="G6" s="2"/>
    </row>
    <row r="7" ht="15.75" customHeight="1">
      <c r="A7" s="2"/>
      <c r="B7" s="34" t="s">
        <v>44</v>
      </c>
      <c r="G7" s="2"/>
    </row>
    <row r="8">
      <c r="A8" s="2"/>
      <c r="B8" s="2"/>
      <c r="C8" s="2"/>
      <c r="D8" s="2"/>
      <c r="E8" s="2"/>
      <c r="F8" s="2"/>
      <c r="G8" s="2"/>
    </row>
    <row r="9" ht="19.5" customHeight="1">
      <c r="A9" s="2"/>
      <c r="B9" s="33" t="s">
        <v>2</v>
      </c>
      <c r="C9" s="25"/>
      <c r="D9" s="25"/>
      <c r="E9" s="25"/>
      <c r="F9" s="6"/>
      <c r="G9" s="2"/>
    </row>
    <row r="10" ht="15.0" customHeight="1">
      <c r="A10" s="2"/>
      <c r="B10" s="35" t="s">
        <v>45</v>
      </c>
      <c r="C10" s="6"/>
      <c r="D10" s="35"/>
      <c r="E10" s="6"/>
      <c r="F10" s="36" t="s">
        <v>46</v>
      </c>
      <c r="G10" s="2"/>
    </row>
    <row r="11" ht="31.5" customHeight="1">
      <c r="A11" s="2"/>
      <c r="B11" s="37">
        <f>'Production Budget'!F263</f>
        <v>6047850.288</v>
      </c>
      <c r="C11" s="6"/>
      <c r="D11" s="38"/>
      <c r="E11" s="6"/>
      <c r="F11" s="39">
        <f>'Seating Plan'!F26</f>
        <v>163000</v>
      </c>
      <c r="G11" s="2"/>
    </row>
    <row r="12">
      <c r="A12" s="2"/>
      <c r="B12" s="2"/>
      <c r="C12" s="2"/>
      <c r="D12" s="2"/>
      <c r="E12" s="2"/>
      <c r="F12" s="2"/>
      <c r="G12" s="2"/>
    </row>
    <row r="13" ht="19.5" customHeight="1">
      <c r="A13" s="2"/>
      <c r="B13" s="33" t="s">
        <v>47</v>
      </c>
      <c r="C13" s="25"/>
      <c r="D13" s="25"/>
      <c r="E13" s="25"/>
      <c r="F13" s="6"/>
      <c r="G13" s="2"/>
    </row>
    <row r="14" ht="15.0" customHeight="1">
      <c r="A14" s="2"/>
      <c r="B14" s="26" t="s">
        <v>48</v>
      </c>
      <c r="C14" s="27" t="s">
        <v>49</v>
      </c>
      <c r="D14" s="27" t="s">
        <v>50</v>
      </c>
      <c r="E14" s="40" t="s">
        <v>51</v>
      </c>
      <c r="F14" s="6"/>
      <c r="G14" s="2"/>
    </row>
    <row r="15" ht="21.75" customHeight="1">
      <c r="A15" s="2"/>
      <c r="B15" s="9" t="s">
        <v>52</v>
      </c>
      <c r="C15" s="18">
        <f>'Production Budget'!F40</f>
        <v>2314250</v>
      </c>
      <c r="D15" s="41">
        <f>C15/'Production Budget'!F263</f>
        <v>0.3826566284</v>
      </c>
      <c r="E15" s="31" t="s">
        <v>53</v>
      </c>
      <c r="G15" s="2"/>
    </row>
    <row r="16" ht="21.75" customHeight="1">
      <c r="A16" s="2"/>
      <c r="B16" s="9" t="s">
        <v>14</v>
      </c>
      <c r="C16" s="18">
        <f>'Production Budget'!F90</f>
        <v>1008879</v>
      </c>
      <c r="D16" s="41">
        <f>C16/'Production Budget'!F263</f>
        <v>0.1668161333</v>
      </c>
      <c r="E16" s="31" t="s">
        <v>54</v>
      </c>
      <c r="G16" s="2"/>
    </row>
    <row r="17" ht="21.75" customHeight="1">
      <c r="A17" s="2"/>
      <c r="B17" s="9" t="s">
        <v>16</v>
      </c>
      <c r="C17" s="18">
        <f>'Production Budget'!F135</f>
        <v>394919.48</v>
      </c>
      <c r="D17" s="41">
        <f>C17/'Production Budget'!F263</f>
        <v>0.06529914948</v>
      </c>
      <c r="E17" s="31" t="s">
        <v>55</v>
      </c>
      <c r="G17" s="2"/>
    </row>
    <row r="18" ht="21.75" customHeight="1">
      <c r="A18" s="2"/>
      <c r="B18" s="9" t="s">
        <v>56</v>
      </c>
      <c r="C18" s="18">
        <f>'Production Budget'!F187</f>
        <v>775500</v>
      </c>
      <c r="D18" s="41">
        <f>C18/'Production Budget'!F263</f>
        <v>0.1282273805</v>
      </c>
      <c r="E18" s="31" t="s">
        <v>57</v>
      </c>
      <c r="G18" s="2"/>
    </row>
    <row r="19" ht="21.75" customHeight="1">
      <c r="A19" s="2"/>
      <c r="B19" s="9" t="s">
        <v>58</v>
      </c>
      <c r="C19" s="18">
        <f>'Production Budget'!F210</f>
        <v>190793.6</v>
      </c>
      <c r="D19" s="41">
        <f>C19/'Production Budget'!F263</f>
        <v>0.03154734177</v>
      </c>
      <c r="E19" s="31" t="s">
        <v>59</v>
      </c>
      <c r="G19" s="2"/>
    </row>
    <row r="20" ht="21.75" customHeight="1">
      <c r="A20" s="2"/>
      <c r="B20" s="9" t="s">
        <v>60</v>
      </c>
      <c r="C20" s="18">
        <f>'Production Budget'!F150+'Production Budget'!F166+'Production Budget'!F233</f>
        <v>179900</v>
      </c>
      <c r="D20" s="41">
        <f>C20/'Production Budget'!F263</f>
        <v>0.0297461067</v>
      </c>
      <c r="E20" s="31" t="s">
        <v>61</v>
      </c>
      <c r="G20" s="2"/>
    </row>
    <row r="21" ht="21.75" customHeight="1">
      <c r="A21" s="2"/>
      <c r="B21" s="9" t="s">
        <v>62</v>
      </c>
      <c r="C21" s="18">
        <f>'Production Budget'!F225</f>
        <v>174700</v>
      </c>
      <c r="D21" s="41">
        <f>C21/'Production Budget'!F263</f>
        <v>0.02888629706</v>
      </c>
      <c r="E21" s="31" t="s">
        <v>63</v>
      </c>
      <c r="G21" s="2"/>
    </row>
    <row r="22" ht="21.75" customHeight="1">
      <c r="A22" s="2"/>
      <c r="B22" s="9" t="s">
        <v>28</v>
      </c>
      <c r="C22" s="18">
        <f>'Production Budget'!F252</f>
        <v>233500</v>
      </c>
      <c r="D22" s="41">
        <f>C22/'Production Budget'!F263</f>
        <v>0.03860875995</v>
      </c>
      <c r="E22" s="31" t="s">
        <v>64</v>
      </c>
      <c r="G22" s="2"/>
    </row>
    <row r="23" ht="21.75" customHeight="1">
      <c r="A23" s="2"/>
      <c r="B23" s="9" t="s">
        <v>65</v>
      </c>
      <c r="C23" s="18">
        <f>'Production Budget'!F261</f>
        <v>775408.208</v>
      </c>
      <c r="D23" s="41">
        <f>C23/'Production Budget'!F263</f>
        <v>0.1282122029</v>
      </c>
      <c r="E23" s="31" t="s">
        <v>66</v>
      </c>
      <c r="G23" s="2"/>
    </row>
    <row r="24" ht="19.5" customHeight="1">
      <c r="A24" s="2"/>
      <c r="B24" s="19" t="s">
        <v>30</v>
      </c>
      <c r="C24" s="20">
        <f>SUM(C15:C23)</f>
        <v>6047850.288</v>
      </c>
      <c r="D24" s="42">
        <v>1.0</v>
      </c>
      <c r="E24" s="43"/>
      <c r="F24" s="6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9.5" customHeight="1">
      <c r="A26" s="2"/>
      <c r="B26" s="33" t="s">
        <v>67</v>
      </c>
      <c r="C26" s="25"/>
      <c r="D26" s="25"/>
      <c r="E26" s="25"/>
      <c r="F26" s="6"/>
      <c r="G26" s="2"/>
    </row>
    <row r="27" ht="15.0" customHeight="1">
      <c r="A27" s="2"/>
      <c r="B27" s="26" t="s">
        <v>68</v>
      </c>
      <c r="C27" s="27" t="s">
        <v>49</v>
      </c>
      <c r="D27" s="27" t="s">
        <v>69</v>
      </c>
      <c r="E27" s="40" t="s">
        <v>70</v>
      </c>
      <c r="F27" s="6"/>
      <c r="G27" s="2"/>
    </row>
    <row r="28" ht="21.75" customHeight="1">
      <c r="A28" s="2"/>
      <c r="B28" s="9" t="s">
        <v>71</v>
      </c>
      <c r="C28" s="18">
        <f>'Production Budget'!F263*0.55</f>
        <v>3326317.658</v>
      </c>
      <c r="D28" s="41">
        <v>0.55</v>
      </c>
      <c r="E28" s="31" t="s">
        <v>72</v>
      </c>
      <c r="G28" s="2"/>
    </row>
    <row r="29" ht="15.0" customHeight="1">
      <c r="A29" s="2"/>
      <c r="B29" s="9" t="s">
        <v>73</v>
      </c>
      <c r="C29" s="18">
        <f>'Production Budget'!F263*0.25</f>
        <v>1511962.572</v>
      </c>
      <c r="D29" s="41">
        <v>0.25</v>
      </c>
      <c r="E29" s="31" t="s">
        <v>74</v>
      </c>
      <c r="G29" s="2"/>
    </row>
    <row r="30" ht="15.0" customHeight="1">
      <c r="A30" s="2"/>
      <c r="B30" s="9" t="s">
        <v>75</v>
      </c>
      <c r="C30" s="18">
        <f>'Production Budget'!F263*0.15</f>
        <v>907177.5432</v>
      </c>
      <c r="D30" s="41">
        <v>0.15</v>
      </c>
      <c r="E30" s="31" t="s">
        <v>76</v>
      </c>
      <c r="G30" s="2"/>
    </row>
    <row r="31" ht="15.0" customHeight="1">
      <c r="A31" s="2"/>
      <c r="B31" s="9" t="s">
        <v>77</v>
      </c>
      <c r="C31" s="18">
        <f>'Production Budget'!F263*0.05</f>
        <v>302392.5144</v>
      </c>
      <c r="D31" s="41">
        <v>0.05</v>
      </c>
      <c r="E31" s="31" t="s">
        <v>78</v>
      </c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9.5" customHeight="1">
      <c r="A33" s="2"/>
      <c r="B33" s="33" t="s">
        <v>79</v>
      </c>
      <c r="C33" s="25"/>
      <c r="D33" s="25"/>
      <c r="E33" s="25"/>
      <c r="F33" s="6"/>
      <c r="G33" s="2"/>
    </row>
    <row r="34" ht="15.0" customHeight="1">
      <c r="A34" s="2"/>
      <c r="B34" s="26" t="s">
        <v>80</v>
      </c>
      <c r="C34" s="27" t="s">
        <v>37</v>
      </c>
      <c r="D34" s="27" t="s">
        <v>38</v>
      </c>
      <c r="E34" s="27" t="s">
        <v>81</v>
      </c>
      <c r="F34" s="44" t="s">
        <v>82</v>
      </c>
      <c r="G34" s="2"/>
    </row>
    <row r="35" ht="15.0" customHeight="1">
      <c r="A35" s="2"/>
      <c r="B35" s="9" t="s">
        <v>33</v>
      </c>
      <c r="C35" s="18">
        <f>(('Seating Plan'!F26*1)+('Seating Plan'!G57*1))-(('Weekly Operating'!F124-0.03*'Seating Plan'!F26)+0.03*1*'Seating Plan'!F26)</f>
        <v>44073</v>
      </c>
      <c r="D35" s="45">
        <f>IF((('Seating Plan'!F26*1)+('Seating Plan'!G57*1))-(('Weekly Operating'!F124-0.03*'Seating Plan'!F26)+0.03*1*'Seating Plan'!F26)&gt;0,'Production Budget'!F263/((('Seating Plan'!F26*1)+('Seating Plan'!G57*1))-(('Weekly Operating'!F124-0.03*'Seating Plan'!F26)+0.03*1*'Seating Plan'!F26)),"—")</f>
        <v>137.2234767</v>
      </c>
      <c r="E35" s="45">
        <f>IF((('Seating Plan'!F26*1)+('Seating Plan'!G57*1))-(('Weekly Operating'!F124-0.03*'Seating Plan'!F26)+0.03*1*'Seating Plan'!F26)&gt;0,('Production Budget'!F263)*0.55/((('Seating Plan'!F26*1)+('Seating Plan'!G57*1))-(('Weekly Operating'!F124-0.03*'Seating Plan'!F26)+0.03*1*'Seating Plan'!F26)),"—")</f>
        <v>75.47291218</v>
      </c>
      <c r="F35" s="46" t="str">
        <f>IF(AND((('Seating Plan'!F26*1)+('Seating Plan'!G57*1))-(('Weekly Operating'!F124-0.03*'Seating Plan'!F26)+0.03*1*'Seating Plan'!F26)&gt;0,('Production Budget'!F263)*0.55/((('Seating Plan'!F26*1)+('Seating Plan'!G57*1))-(('Weekly Operating'!F124-0.03*'Seating Plan'!F26)+0.03*1*'Seating Plan'!F26))&lt;=60),"YES","NO")</f>
        <v>NO</v>
      </c>
      <c r="G35" s="2"/>
    </row>
    <row r="36" ht="15.0" customHeight="1">
      <c r="A36" s="2"/>
      <c r="B36" s="9" t="s">
        <v>34</v>
      </c>
      <c r="C36" s="18">
        <f>(('Seating Plan'!F26*0.9)+('Seating Plan'!G57*0.9))-(('Weekly Operating'!F124-0.03*'Seating Plan'!F26)+0.03*0.9*'Seating Plan'!F26)</f>
        <v>26579</v>
      </c>
      <c r="D36" s="45">
        <f>IF((('Seating Plan'!F26*0.9)+('Seating Plan'!G57*0.9))-(('Weekly Operating'!F124-0.03*'Seating Plan'!F26)+0.03*0.9*'Seating Plan'!F26)&gt;0,'Production Budget'!F263/((('Seating Plan'!F26*0.9)+('Seating Plan'!G57*0.9))-(('Weekly Operating'!F124-0.03*'Seating Plan'!F26)+0.03*0.9*'Seating Plan'!F26)),"—")</f>
        <v>227.5424315</v>
      </c>
      <c r="E36" s="45">
        <f>IF((('Seating Plan'!F26*0.9)+('Seating Plan'!G57*0.9))-(('Weekly Operating'!F124-0.03*'Seating Plan'!F26)+0.03*0.9*'Seating Plan'!F26)&gt;0,('Production Budget'!F263)*0.55/((('Seating Plan'!F26*0.9)+('Seating Plan'!G57*0.9))-(('Weekly Operating'!F124-0.03*'Seating Plan'!F26)+0.03*0.9*'Seating Plan'!F26)),"—")</f>
        <v>125.1483373</v>
      </c>
      <c r="F36" s="46" t="str">
        <f>IF(AND((('Seating Plan'!F26*0.9)+('Seating Plan'!G57*0.9))-(('Weekly Operating'!F124-0.03*'Seating Plan'!F26)+0.03*0.9*'Seating Plan'!F26)&gt;0,('Production Budget'!F263)*0.55/((('Seating Plan'!F26*0.9)+('Seating Plan'!G57*0.9))-(('Weekly Operating'!F124-0.03*'Seating Plan'!F26)+0.03*0.9*'Seating Plan'!F26))&lt;=60),"YES","NO")</f>
        <v>NO</v>
      </c>
      <c r="G36" s="2"/>
    </row>
    <row r="37" ht="15.0" customHeight="1">
      <c r="A37" s="2"/>
      <c r="B37" s="9" t="s">
        <v>83</v>
      </c>
      <c r="C37" s="18">
        <f>(('Seating Plan'!F26*0.85)+('Seating Plan'!G57*0.85))-(('Weekly Operating'!F124-0.03*'Seating Plan'!F26)+0.03*0.85*'Seating Plan'!F26)</f>
        <v>17832</v>
      </c>
      <c r="D37" s="45">
        <f>IF((('Seating Plan'!F26*0.85)+('Seating Plan'!G57*0.85))-(('Weekly Operating'!F124-0.03*'Seating Plan'!F26)+0.03*0.85*'Seating Plan'!F26)&gt;0,'Production Budget'!F263/((('Seating Plan'!F26*0.85)+('Seating Plan'!G57*0.85))-(('Weekly Operating'!F124-0.03*'Seating Plan'!F26)+0.03*0.85*'Seating Plan'!F26)),"—")</f>
        <v>339.1571494</v>
      </c>
      <c r="E37" s="45">
        <f>IF((('Seating Plan'!F26*0.85)+('Seating Plan'!G57*0.85))-(('Weekly Operating'!F124-0.03*'Seating Plan'!F26)+0.03*0.85*'Seating Plan'!F26)&gt;0,('Production Budget'!F263)*0.55/((('Seating Plan'!F26*0.85)+('Seating Plan'!G57*0.85))-(('Weekly Operating'!F124-0.03*'Seating Plan'!F26)+0.03*0.85*'Seating Plan'!F26)),"—")</f>
        <v>186.5364322</v>
      </c>
      <c r="F37" s="46" t="str">
        <f>IF(AND((('Seating Plan'!F26*0.85)+('Seating Plan'!G57*0.85))-(('Weekly Operating'!F124-0.03*'Seating Plan'!F26)+0.03*0.85*'Seating Plan'!F26)&gt;0,('Production Budget'!F263)*0.55/((('Seating Plan'!F26*0.85)+('Seating Plan'!G57*0.85))-(('Weekly Operating'!F124-0.03*'Seating Plan'!F26)+0.03*0.85*'Seating Plan'!F26))&lt;=60),"YES","NO")</f>
        <v>NO</v>
      </c>
      <c r="G37" s="2"/>
    </row>
    <row r="38" ht="15.0" customHeight="1">
      <c r="A38" s="2"/>
      <c r="B38" s="9" t="s">
        <v>35</v>
      </c>
      <c r="C38" s="18">
        <f>(('Seating Plan'!F26*0.8)+('Seating Plan'!G57*0.8))-(('Weekly Operating'!F124-0.03*'Seating Plan'!F26)+0.03*0.8*'Seating Plan'!F26)</f>
        <v>9085</v>
      </c>
      <c r="D38" s="45">
        <f>IF((('Seating Plan'!F26*0.8)+('Seating Plan'!G57*0.8))-(('Weekly Operating'!F124-0.03*'Seating Plan'!F26)+0.03*0.8*'Seating Plan'!F26)&gt;0,'Production Budget'!F263/((('Seating Plan'!F26*0.8)+('Seating Plan'!G57*0.8))-(('Weekly Operating'!F124-0.03*'Seating Plan'!F26)+0.03*0.8*'Seating Plan'!F26)),"—")</f>
        <v>665.6962342</v>
      </c>
      <c r="E38" s="45">
        <f>IF((('Seating Plan'!F26*0.8)+('Seating Plan'!G57*0.8))-(('Weekly Operating'!F124-0.03*'Seating Plan'!F26)+0.03*0.8*'Seating Plan'!F26)&gt;0,('Production Budget'!F263)*0.55/((('Seating Plan'!F26*0.8)+('Seating Plan'!G57*0.8))-(('Weekly Operating'!F124-0.03*'Seating Plan'!F26)+0.03*0.8*'Seating Plan'!F26)),"—")</f>
        <v>366.1329288</v>
      </c>
      <c r="F38" s="46" t="str">
        <f>IF(AND((('Seating Plan'!F26*0.8)+('Seating Plan'!G57*0.8))-(('Weekly Operating'!F124-0.03*'Seating Plan'!F26)+0.03*0.8*'Seating Plan'!F26)&gt;0,('Production Budget'!F263)*0.55/((('Seating Plan'!F26*0.8)+('Seating Plan'!G57*0.8))-(('Weekly Operating'!F124-0.03*'Seating Plan'!F26)+0.03*0.8*'Seating Plan'!F26))&lt;=60),"YES","NO")</f>
        <v>NO</v>
      </c>
      <c r="G38" s="2"/>
    </row>
    <row r="39" ht="15.0" customHeight="1">
      <c r="A39" s="2"/>
      <c r="B39" s="9" t="s">
        <v>36</v>
      </c>
      <c r="C39" s="18">
        <f>(('Seating Plan'!F26*0.75)+('Seating Plan'!G57*0.75))-(('Weekly Operating'!F124-0.03*'Seating Plan'!F26)+0.03*0.75*'Seating Plan'!F26)</f>
        <v>338</v>
      </c>
      <c r="D39" s="45">
        <f>IF((('Seating Plan'!F26*0.75)+('Seating Plan'!G57*0.75))-(('Weekly Operating'!F124-0.03*'Seating Plan'!F26)+0.03*0.75*'Seating Plan'!F26)&gt;0,'Production Budget'!F263/((('Seating Plan'!F26*0.75)+('Seating Plan'!G57*0.75))-(('Weekly Operating'!F124-0.03*'Seating Plan'!F26)+0.03*0.75*'Seating Plan'!F26)),"—")</f>
        <v>17893.04819</v>
      </c>
      <c r="E39" s="45">
        <f>IF((('Seating Plan'!F26*0.75)+('Seating Plan'!G57*0.75))-(('Weekly Operating'!F124-0.03*'Seating Plan'!F26)+0.03*0.75*'Seating Plan'!F26)&gt;0,('Production Budget'!F263)*0.55/((('Seating Plan'!F26*0.75)+('Seating Plan'!G57*0.75))-(('Weekly Operating'!F124-0.03*'Seating Plan'!F26)+0.03*0.75*'Seating Plan'!F26)),"—")</f>
        <v>9841.176504</v>
      </c>
      <c r="F39" s="46" t="str">
        <f>IF(AND((('Seating Plan'!F26*0.75)+('Seating Plan'!G57*0.75))-(('Weekly Operating'!F124-0.03*'Seating Plan'!F26)+0.03*0.75*'Seating Plan'!F26)&gt;0,('Production Budget'!F263)*0.55/((('Seating Plan'!F26*0.75)+('Seating Plan'!G57*0.75))-(('Weekly Operating'!F124-0.03*'Seating Plan'!F26)+0.03*0.75*'Seating Plan'!F26))&lt;=60),"YES","NO")</f>
        <v>NO</v>
      </c>
      <c r="G39" s="2"/>
    </row>
    <row r="40" ht="15.0" customHeight="1">
      <c r="A40" s="2"/>
      <c r="B40" s="9" t="s">
        <v>84</v>
      </c>
      <c r="C40" s="18">
        <f>(('Seating Plan'!F26*0.7)+('Seating Plan'!G57*0.7))-(('Weekly Operating'!F124-0.03*'Seating Plan'!F26)+0.03*0.7*'Seating Plan'!F26)</f>
        <v>-8409</v>
      </c>
      <c r="D40" s="45" t="str">
        <f>IF((('Seating Plan'!F26*0.7)+('Seating Plan'!G57*0.7))-(('Weekly Operating'!F124-0.03*'Seating Plan'!F26)+0.03*0.7*'Seating Plan'!F26)&gt;0,'Production Budget'!F263/((('Seating Plan'!F26*0.7)+('Seating Plan'!G57*0.7))-(('Weekly Operating'!F124-0.03*'Seating Plan'!F26)+0.03*0.7*'Seating Plan'!F26)),"—")</f>
        <v>—</v>
      </c>
      <c r="E40" s="45" t="str">
        <f>IF((('Seating Plan'!F26*0.7)+('Seating Plan'!G57*0.7))-(('Weekly Operating'!F124-0.03*'Seating Plan'!F26)+0.03*0.7*'Seating Plan'!F26)&gt;0,('Production Budget'!F263)*0.55/((('Seating Plan'!F26*0.7)+('Seating Plan'!G57*0.7))-(('Weekly Operating'!F124-0.03*'Seating Plan'!F26)+0.03*0.7*'Seating Plan'!F26)),"—")</f>
        <v>—</v>
      </c>
      <c r="F40" s="46" t="str">
        <f>IF(AND((('Seating Plan'!F26*0.7)+('Seating Plan'!G57*0.7))-(('Weekly Operating'!F124-0.03*'Seating Plan'!F26)+0.03*0.7*'Seating Plan'!F26)&gt;0,('Production Budget'!F263)*0.55/((('Seating Plan'!F26*0.7)+('Seating Plan'!G57*0.7))-(('Weekly Operating'!F124-0.03*'Seating Plan'!F26)+0.03*0.7*'Seating Plan'!F26))&lt;=60),"YES","NO")</f>
        <v>NO</v>
      </c>
      <c r="G40" s="2"/>
    </row>
    <row r="41" ht="15.0" customHeight="1">
      <c r="A41" s="2"/>
      <c r="B41" s="9" t="s">
        <v>85</v>
      </c>
      <c r="C41" s="18">
        <f>(('Seating Plan'!F26*0.65)+('Seating Plan'!G57*0.65))-(('Weekly Operating'!F124-0.03*'Seating Plan'!F26)+0.03*0.65*'Seating Plan'!F26)</f>
        <v>-17156</v>
      </c>
      <c r="D41" s="45" t="str">
        <f>IF((('Seating Plan'!F26*0.65)+('Seating Plan'!G57*0.65))-(('Weekly Operating'!F124-0.03*'Seating Plan'!F26)+0.03*0.65*'Seating Plan'!F26)&gt;0,'Production Budget'!F263/((('Seating Plan'!F26*0.65)+('Seating Plan'!G57*0.65))-(('Weekly Operating'!F124-0.03*'Seating Plan'!F26)+0.03*0.65*'Seating Plan'!F26)),"—")</f>
        <v>—</v>
      </c>
      <c r="E41" s="45" t="str">
        <f>IF((('Seating Plan'!F26*0.65)+('Seating Plan'!G57*0.65))-(('Weekly Operating'!F124-0.03*'Seating Plan'!F26)+0.03*0.65*'Seating Plan'!F26)&gt;0,('Production Budget'!F263)*0.55/((('Seating Plan'!F26*0.65)+('Seating Plan'!G57*0.65))-(('Weekly Operating'!F124-0.03*'Seating Plan'!F26)+0.03*0.65*'Seating Plan'!F26)),"—")</f>
        <v>—</v>
      </c>
      <c r="F41" s="46" t="str">
        <f>IF(AND((('Seating Plan'!F26*0.65)+('Seating Plan'!G57*0.65))-(('Weekly Operating'!F124-0.03*'Seating Plan'!F26)+0.03*0.65*'Seating Plan'!F26)&gt;0,('Production Budget'!F263)*0.55/((('Seating Plan'!F26*0.65)+('Seating Plan'!G57*0.65))-(('Weekly Operating'!F124-0.03*'Seating Plan'!F26)+0.03*0.65*'Seating Plan'!F26))&lt;=60),"YES","NO")</f>
        <v>NO</v>
      </c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0" customHeight="1">
      <c r="A43" s="2"/>
      <c r="B43" s="31" t="s">
        <v>86</v>
      </c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</sheetData>
  <mergeCells count="30">
    <mergeCell ref="B2:F2"/>
    <mergeCell ref="B3:F3"/>
    <mergeCell ref="B5:F5"/>
    <mergeCell ref="B6:F6"/>
    <mergeCell ref="B7:F7"/>
    <mergeCell ref="B9:F9"/>
    <mergeCell ref="D10:E10"/>
    <mergeCell ref="B10:C10"/>
    <mergeCell ref="B11:C11"/>
    <mergeCell ref="D11:E11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B33:F33"/>
    <mergeCell ref="B43:F43"/>
    <mergeCell ref="E24:F24"/>
    <mergeCell ref="B26:F26"/>
    <mergeCell ref="E27:F27"/>
    <mergeCell ref="E28:F28"/>
    <mergeCell ref="E29:F29"/>
    <mergeCell ref="E30:F30"/>
    <mergeCell ref="E31:F31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5" width="20.0"/>
    <col customWidth="1" min="6" max="6" width="2.0"/>
    <col customWidth="1" min="7" max="26" width="8.71"/>
  </cols>
  <sheetData>
    <row r="1" ht="15.0" customHeight="1">
      <c r="A1" s="1"/>
      <c r="B1" s="1"/>
      <c r="C1" s="1"/>
      <c r="D1" s="1"/>
      <c r="E1" s="1"/>
      <c r="F1" s="1"/>
    </row>
    <row r="2" ht="30.0" customHeight="1">
      <c r="A2" s="2"/>
      <c r="B2" s="47" t="s">
        <v>0</v>
      </c>
      <c r="F2" s="2"/>
    </row>
    <row r="3" ht="15.0" customHeight="1">
      <c r="A3" s="2"/>
      <c r="B3" s="48" t="s">
        <v>87</v>
      </c>
      <c r="F3" s="2"/>
    </row>
    <row r="4">
      <c r="A4" s="2"/>
      <c r="B4" s="2"/>
      <c r="C4" s="2"/>
      <c r="D4" s="2"/>
      <c r="E4" s="2"/>
      <c r="F4" s="2"/>
    </row>
    <row r="5" ht="18.0" customHeight="1">
      <c r="A5" s="2"/>
      <c r="B5" s="35" t="s">
        <v>88</v>
      </c>
      <c r="C5" s="6"/>
      <c r="D5" s="49" t="s">
        <v>89</v>
      </c>
      <c r="E5" s="6"/>
      <c r="F5" s="2"/>
    </row>
    <row r="6" ht="27.75" customHeight="1">
      <c r="A6" s="2"/>
      <c r="B6" s="50">
        <f>'Production Budget'!F263</f>
        <v>6047850.288</v>
      </c>
      <c r="C6" s="8"/>
      <c r="D6" s="51">
        <f>'Seating Plan'!F26</f>
        <v>163000</v>
      </c>
      <c r="E6" s="8"/>
      <c r="F6" s="2"/>
    </row>
    <row r="7" ht="19.5" customHeight="1">
      <c r="A7" s="2"/>
      <c r="B7" s="13"/>
      <c r="C7" s="14"/>
      <c r="D7" s="13"/>
      <c r="E7" s="14"/>
      <c r="F7" s="2"/>
    </row>
    <row r="8" ht="7.5" customHeight="1">
      <c r="A8" s="2"/>
      <c r="B8" s="2"/>
      <c r="C8" s="2"/>
      <c r="D8" s="2"/>
      <c r="E8" s="2"/>
      <c r="F8" s="2"/>
    </row>
    <row r="9" ht="18.0" customHeight="1">
      <c r="A9" s="2"/>
      <c r="B9" s="52" t="s">
        <v>90</v>
      </c>
      <c r="C9" s="6"/>
      <c r="D9" s="52" t="s">
        <v>91</v>
      </c>
      <c r="E9" s="6"/>
      <c r="F9" s="2"/>
    </row>
    <row r="10" ht="27.75" customHeight="1">
      <c r="A10" s="2"/>
      <c r="B10" s="53" t="s">
        <v>92</v>
      </c>
      <c r="C10" s="8"/>
      <c r="D10" s="54">
        <v>12.0</v>
      </c>
      <c r="E10" s="8"/>
      <c r="F10" s="2"/>
    </row>
    <row r="11" ht="19.5" customHeight="1">
      <c r="A11" s="2"/>
      <c r="B11" s="13"/>
      <c r="C11" s="14"/>
      <c r="D11" s="13"/>
      <c r="E11" s="14"/>
      <c r="F11" s="2"/>
    </row>
    <row r="12" ht="7.5" customHeight="1">
      <c r="A12" s="2"/>
      <c r="B12" s="2"/>
      <c r="C12" s="2"/>
      <c r="D12" s="2"/>
      <c r="E12" s="2"/>
      <c r="F12" s="2"/>
    </row>
    <row r="13" ht="18.0" customHeight="1">
      <c r="A13" s="2"/>
      <c r="B13" s="55" t="s">
        <v>93</v>
      </c>
      <c r="C13" s="6"/>
      <c r="D13" s="55" t="s">
        <v>94</v>
      </c>
      <c r="E13" s="6"/>
      <c r="F13" s="2"/>
    </row>
    <row r="14" ht="27.75" customHeight="1">
      <c r="A14" s="2"/>
      <c r="B14" s="56" t="s">
        <v>95</v>
      </c>
      <c r="C14" s="8"/>
      <c r="D14" s="57">
        <v>150.0</v>
      </c>
      <c r="E14" s="8"/>
      <c r="F14" s="2"/>
    </row>
    <row r="15" ht="19.5" customHeight="1">
      <c r="A15" s="2"/>
      <c r="B15" s="13"/>
      <c r="C15" s="14"/>
      <c r="D15" s="13"/>
      <c r="E15" s="14"/>
      <c r="F15" s="2"/>
    </row>
    <row r="16">
      <c r="A16" s="2"/>
      <c r="B16" s="2"/>
      <c r="C16" s="2"/>
      <c r="D16" s="2"/>
      <c r="E16" s="2"/>
      <c r="F16" s="2"/>
    </row>
    <row r="17" ht="19.5" customHeight="1">
      <c r="A17" s="2"/>
      <c r="B17" s="58" t="s">
        <v>96</v>
      </c>
      <c r="C17" s="25"/>
      <c r="D17" s="25"/>
      <c r="E17" s="6"/>
      <c r="F17" s="2"/>
    </row>
    <row r="18" ht="15.0" customHeight="1">
      <c r="A18" s="2"/>
      <c r="B18" s="59" t="s">
        <v>48</v>
      </c>
      <c r="C18" s="6"/>
      <c r="D18" s="60" t="s">
        <v>49</v>
      </c>
      <c r="E18" s="60" t="s">
        <v>97</v>
      </c>
      <c r="F18" s="2"/>
    </row>
    <row r="19" ht="18.0" customHeight="1">
      <c r="A19" s="2"/>
      <c r="B19" s="61" t="s">
        <v>98</v>
      </c>
      <c r="D19" s="62">
        <f>'Production Budget'!F40+'Production Budget'!F210</f>
        <v>2505043.6</v>
      </c>
      <c r="E19" s="63">
        <f>D19/'Production Budget'!F263</f>
        <v>0.4142039701</v>
      </c>
      <c r="F19" s="2"/>
    </row>
    <row r="20" ht="18.0" customHeight="1">
      <c r="A20" s="2"/>
      <c r="B20" s="61" t="s">
        <v>99</v>
      </c>
      <c r="D20" s="62">
        <f>'Production Budget'!F90+'Production Budget'!F135+'Production Budget'!F150+'Production Budget'!F166</f>
        <v>1508698.48</v>
      </c>
      <c r="E20" s="63">
        <f>D20/'Production Budget'!F263</f>
        <v>0.2494602889</v>
      </c>
      <c r="F20" s="2"/>
    </row>
    <row r="21" ht="18.0" customHeight="1">
      <c r="A21" s="2"/>
      <c r="B21" s="61" t="s">
        <v>100</v>
      </c>
      <c r="D21" s="62">
        <f>'Production Budget'!F187</f>
        <v>775500</v>
      </c>
      <c r="E21" s="63">
        <f>D21/'Production Budget'!F263</f>
        <v>0.1282273805</v>
      </c>
      <c r="F21" s="2"/>
    </row>
    <row r="22" ht="18.0" customHeight="1">
      <c r="A22" s="2"/>
      <c r="B22" s="61" t="s">
        <v>101</v>
      </c>
      <c r="D22" s="62">
        <f>'Production Budget'!F225+'Production Budget'!F233+'Production Budget'!F252+'Production Budget'!F261</f>
        <v>1258608.208</v>
      </c>
      <c r="E22" s="63">
        <f>D22/'Production Budget'!F263</f>
        <v>0.2081083605</v>
      </c>
      <c r="F22" s="2"/>
    </row>
    <row r="23" ht="21.75" customHeight="1">
      <c r="A23" s="2"/>
      <c r="B23" s="64" t="s">
        <v>102</v>
      </c>
      <c r="C23" s="6"/>
      <c r="D23" s="65">
        <f>SUM(D19:D22)</f>
        <v>6047850.288</v>
      </c>
      <c r="E23" s="66">
        <v>1.0</v>
      </c>
      <c r="F23" s="2"/>
    </row>
    <row r="24" ht="15.75" customHeight="1">
      <c r="A24" s="2"/>
      <c r="B24" s="2"/>
      <c r="C24" s="2"/>
      <c r="D24" s="2"/>
      <c r="E24" s="2"/>
      <c r="F24" s="2"/>
    </row>
    <row r="25" ht="21.75" customHeight="1">
      <c r="A25" s="2"/>
      <c r="B25" s="67" t="str">
        <f>"Breakeven at "&amp;TEXT(Recoupment!C28,"0.0%")&amp;" capacity · Recoup investor tier in "&amp;TEXT('Production Budget'!F263*0.55/(('Seating Plan'!F26*0.9+'Seating Plan'!G57*0.9)-(('Weekly Operating'!F124-0.03*'Seating Plan'!F26)+0.03*0.9*'Seating Plan'!F26)),"0")&amp;" weeks at 90% avg capacity"</f>
        <v>Breakeven at 74.8% capacity · Recoup investor tier in 125 weeks at 90% avg capacity</v>
      </c>
      <c r="C25" s="25"/>
      <c r="D25" s="25"/>
      <c r="E25" s="6"/>
      <c r="F25" s="2"/>
    </row>
    <row r="26" ht="15.75" customHeight="1">
      <c r="A26" s="2"/>
      <c r="B26" s="2"/>
      <c r="C26" s="2"/>
      <c r="D26" s="2"/>
      <c r="E26" s="2"/>
      <c r="F26" s="2"/>
    </row>
    <row r="27" ht="15.0" customHeight="1">
      <c r="A27" s="2"/>
      <c r="B27" s="68" t="s">
        <v>103</v>
      </c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23">
    <mergeCell ref="B2:E2"/>
    <mergeCell ref="B3:E3"/>
    <mergeCell ref="B5:C5"/>
    <mergeCell ref="D5:E5"/>
    <mergeCell ref="B6:C7"/>
    <mergeCell ref="D6:E7"/>
    <mergeCell ref="D9:E9"/>
    <mergeCell ref="B9:C9"/>
    <mergeCell ref="B10:C11"/>
    <mergeCell ref="D10:E11"/>
    <mergeCell ref="B13:C13"/>
    <mergeCell ref="D13:E13"/>
    <mergeCell ref="B14:C15"/>
    <mergeCell ref="D14:E15"/>
    <mergeCell ref="B25:E25"/>
    <mergeCell ref="B27:E27"/>
    <mergeCell ref="B17:E17"/>
    <mergeCell ref="B18:C18"/>
    <mergeCell ref="B19:C19"/>
    <mergeCell ref="B20:C20"/>
    <mergeCell ref="B21:C21"/>
    <mergeCell ref="B22:C22"/>
    <mergeCell ref="B23:C2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2.0"/>
    <col customWidth="1" min="3" max="3" width="16.0"/>
    <col customWidth="1" min="4" max="4" width="11.0"/>
    <col customWidth="1" min="5" max="5" width="4.0"/>
    <col customWidth="1" min="6" max="6" width="30.0"/>
    <col customWidth="1" min="7" max="7" width="16.0"/>
    <col customWidth="1" min="8" max="26" width="8.71"/>
  </cols>
  <sheetData>
    <row r="1" ht="15.0" customHeight="1">
      <c r="A1" s="69" t="s">
        <v>104</v>
      </c>
      <c r="B1" s="2"/>
      <c r="C1" s="2"/>
      <c r="D1" s="2"/>
      <c r="E1" s="2"/>
      <c r="F1" s="70"/>
      <c r="G1" s="2"/>
    </row>
    <row r="2" ht="15.0" customHeight="1">
      <c r="A2" s="71" t="s">
        <v>105</v>
      </c>
      <c r="B2" s="2"/>
      <c r="C2" s="2"/>
      <c r="D2" s="2"/>
      <c r="E2" s="2"/>
      <c r="F2" s="2"/>
      <c r="G2" s="2"/>
    </row>
    <row r="3" ht="15.0" customHeight="1">
      <c r="A3" s="71" t="s">
        <v>106</v>
      </c>
      <c r="B3" s="2"/>
      <c r="C3" s="2"/>
      <c r="D3" s="2"/>
      <c r="E3" s="2"/>
      <c r="F3" s="2"/>
      <c r="G3" s="2"/>
    </row>
    <row r="4" ht="15.0" customHeight="1">
      <c r="A4" s="72" t="s">
        <v>107</v>
      </c>
      <c r="B4" s="2"/>
      <c r="C4" s="2"/>
      <c r="D4" s="2"/>
      <c r="E4" s="2"/>
      <c r="F4" s="73" t="s">
        <v>108</v>
      </c>
      <c r="G4" s="2"/>
    </row>
    <row r="5">
      <c r="A5" s="2"/>
      <c r="B5" s="2"/>
      <c r="C5" s="2"/>
      <c r="D5" s="2"/>
      <c r="E5" s="2"/>
      <c r="F5" s="2"/>
      <c r="G5" s="2"/>
    </row>
    <row r="6" ht="15.0" customHeight="1">
      <c r="A6" s="74" t="s">
        <v>0</v>
      </c>
      <c r="B6" s="25"/>
      <c r="C6" s="25"/>
      <c r="D6" s="25"/>
      <c r="E6" s="25"/>
      <c r="F6" s="25"/>
      <c r="G6" s="6"/>
    </row>
    <row r="7" ht="15.0" customHeight="1">
      <c r="A7" s="75" t="s">
        <v>109</v>
      </c>
      <c r="B7" s="25"/>
      <c r="C7" s="25"/>
      <c r="D7" s="25"/>
      <c r="E7" s="25"/>
      <c r="F7" s="25"/>
      <c r="G7" s="6"/>
    </row>
    <row r="8">
      <c r="A8" s="2"/>
      <c r="B8" s="2"/>
      <c r="C8" s="2"/>
      <c r="D8" s="2"/>
      <c r="E8" s="2"/>
      <c r="F8" s="2"/>
      <c r="G8" s="2"/>
    </row>
    <row r="9" ht="15.0" customHeight="1">
      <c r="A9" s="76" t="s">
        <v>110</v>
      </c>
      <c r="B9" s="25"/>
      <c r="C9" s="25"/>
      <c r="D9" s="25"/>
      <c r="E9" s="25"/>
      <c r="F9" s="25"/>
      <c r="G9" s="6"/>
    </row>
    <row r="10" ht="15.0" customHeight="1">
      <c r="A10" s="2"/>
      <c r="B10" s="77" t="s">
        <v>111</v>
      </c>
      <c r="C10" s="78">
        <f>'Production Budget'!F40</f>
        <v>2314250</v>
      </c>
      <c r="D10" s="2"/>
      <c r="E10" s="2"/>
      <c r="F10" s="2"/>
      <c r="G10" s="2"/>
    </row>
    <row r="11" ht="15.0" customHeight="1">
      <c r="A11" s="2"/>
      <c r="B11" s="77" t="s">
        <v>112</v>
      </c>
      <c r="C11" s="78">
        <f>'Production Budget'!F90</f>
        <v>1008879</v>
      </c>
      <c r="D11" s="2"/>
      <c r="E11" s="2"/>
      <c r="F11" s="2"/>
      <c r="G11" s="2"/>
    </row>
    <row r="12" ht="15.0" customHeight="1">
      <c r="A12" s="2"/>
      <c r="B12" s="77" t="s">
        <v>113</v>
      </c>
      <c r="C12" s="78">
        <f>'Production Budget'!F135</f>
        <v>394919.48</v>
      </c>
      <c r="D12" s="2"/>
      <c r="E12" s="2"/>
      <c r="F12" s="2"/>
      <c r="G12" s="2"/>
    </row>
    <row r="13" ht="15.0" customHeight="1">
      <c r="A13" s="2"/>
      <c r="B13" s="77" t="s">
        <v>114</v>
      </c>
      <c r="C13" s="78">
        <f>'Production Budget'!F150</f>
        <v>53500</v>
      </c>
      <c r="D13" s="2"/>
      <c r="E13" s="2"/>
      <c r="F13" s="2"/>
      <c r="G13" s="2"/>
    </row>
    <row r="14" ht="15.0" customHeight="1">
      <c r="A14" s="2"/>
      <c r="B14" s="77" t="s">
        <v>115</v>
      </c>
      <c r="C14" s="78">
        <f>'Production Budget'!F166</f>
        <v>51400</v>
      </c>
      <c r="D14" s="2"/>
      <c r="E14" s="2"/>
      <c r="F14" s="2"/>
      <c r="G14" s="2"/>
    </row>
    <row r="15" ht="15.0" customHeight="1">
      <c r="A15" s="2"/>
      <c r="B15" s="77" t="s">
        <v>116</v>
      </c>
      <c r="C15" s="78">
        <f>'Production Budget'!F187</f>
        <v>775500</v>
      </c>
      <c r="D15" s="2"/>
      <c r="E15" s="2"/>
      <c r="F15" s="2"/>
      <c r="G15" s="2"/>
    </row>
    <row r="16" ht="15.0" customHeight="1">
      <c r="A16" s="2"/>
      <c r="B16" s="77" t="s">
        <v>117</v>
      </c>
      <c r="C16" s="78">
        <f>'Production Budget'!F210</f>
        <v>190793.6</v>
      </c>
      <c r="D16" s="2"/>
      <c r="E16" s="2"/>
      <c r="F16" s="2"/>
      <c r="G16" s="2"/>
    </row>
    <row r="17" ht="15.0" customHeight="1">
      <c r="A17" s="2"/>
      <c r="B17" s="77" t="s">
        <v>118</v>
      </c>
      <c r="C17" s="78">
        <f>'Production Budget'!F225</f>
        <v>174700</v>
      </c>
      <c r="D17" s="2"/>
      <c r="E17" s="2"/>
      <c r="F17" s="2"/>
      <c r="G17" s="2"/>
    </row>
    <row r="18" ht="15.0" customHeight="1">
      <c r="A18" s="2"/>
      <c r="B18" s="77" t="s">
        <v>119</v>
      </c>
      <c r="C18" s="78">
        <f>'Production Budget'!F233</f>
        <v>75000</v>
      </c>
      <c r="D18" s="2"/>
      <c r="E18" s="2"/>
      <c r="F18" s="2"/>
      <c r="G18" s="2"/>
    </row>
    <row r="19" ht="15.0" customHeight="1">
      <c r="A19" s="2"/>
      <c r="B19" s="79" t="s">
        <v>120</v>
      </c>
      <c r="C19" s="80">
        <f>'Production Budget'!F235</f>
        <v>5038942.08</v>
      </c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 ht="15.0" customHeight="1">
      <c r="A21" s="2"/>
      <c r="B21" s="77" t="s">
        <v>121</v>
      </c>
      <c r="C21" s="78">
        <f>'Production Budget'!F252</f>
        <v>233500</v>
      </c>
      <c r="D21" s="2"/>
      <c r="E21" s="2"/>
      <c r="F21" s="2"/>
      <c r="G21" s="2"/>
    </row>
    <row r="22" ht="15.0" customHeight="1">
      <c r="A22" s="2"/>
      <c r="B22" s="77" t="s">
        <v>122</v>
      </c>
      <c r="C22" s="78">
        <f>'Production Budget'!F261</f>
        <v>775408.208</v>
      </c>
      <c r="D22" s="2"/>
      <c r="E22" s="2"/>
      <c r="F22" s="2"/>
      <c r="G22" s="2"/>
    </row>
    <row r="23" ht="15.0" customHeight="1">
      <c r="A23" s="2"/>
      <c r="B23" s="81" t="s">
        <v>123</v>
      </c>
      <c r="C23" s="82">
        <f>'Production Budget'!F263</f>
        <v>6047850.288</v>
      </c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0" customHeight="1">
      <c r="A26" s="76" t="s">
        <v>124</v>
      </c>
      <c r="B26" s="25"/>
      <c r="C26" s="25"/>
      <c r="D26" s="25"/>
      <c r="E26" s="25"/>
      <c r="F26" s="25"/>
      <c r="G26" s="6"/>
    </row>
    <row r="27" ht="15.0" customHeight="1">
      <c r="A27" s="2"/>
      <c r="B27" s="77" t="s">
        <v>125</v>
      </c>
      <c r="C27" s="78">
        <f>'Weekly Operating'!F21</f>
        <v>9300</v>
      </c>
      <c r="D27" s="2"/>
      <c r="E27" s="2"/>
      <c r="F27" s="2"/>
      <c r="G27" s="2"/>
    </row>
    <row r="28" ht="15.0" customHeight="1">
      <c r="A28" s="2"/>
      <c r="B28" s="77" t="s">
        <v>126</v>
      </c>
      <c r="C28" s="78">
        <f>'Weekly Operating'!F37</f>
        <v>8400</v>
      </c>
      <c r="D28" s="2"/>
      <c r="E28" s="2"/>
      <c r="F28" s="2"/>
      <c r="G28" s="2"/>
    </row>
    <row r="29" ht="15.0" customHeight="1">
      <c r="A29" s="2"/>
      <c r="B29" s="77" t="s">
        <v>127</v>
      </c>
      <c r="C29" s="78">
        <f>'Weekly Operating'!F84</f>
        <v>81007</v>
      </c>
      <c r="D29" s="2"/>
      <c r="E29" s="2"/>
      <c r="F29" s="2"/>
      <c r="G29" s="2"/>
    </row>
    <row r="30" ht="15.0" customHeight="1">
      <c r="A30" s="2"/>
      <c r="B30" s="77" t="s">
        <v>128</v>
      </c>
      <c r="C30" s="78">
        <f>'Weekly Operating'!F97</f>
        <v>25500</v>
      </c>
      <c r="D30" s="2"/>
      <c r="E30" s="2"/>
      <c r="F30" s="2"/>
      <c r="G30" s="2"/>
    </row>
    <row r="31" ht="15.0" customHeight="1">
      <c r="A31" s="2"/>
      <c r="B31" s="77" t="s">
        <v>129</v>
      </c>
      <c r="C31" s="78">
        <f>'Weekly Operating'!F110</f>
        <v>8400</v>
      </c>
      <c r="D31" s="2"/>
      <c r="E31" s="2"/>
      <c r="F31" s="2"/>
      <c r="G31" s="2"/>
    </row>
    <row r="32" ht="15.0" customHeight="1">
      <c r="A32" s="2"/>
      <c r="B32" s="77" t="s">
        <v>130</v>
      </c>
      <c r="C32" s="78">
        <f>'Weekly Operating'!F122</f>
        <v>3150</v>
      </c>
      <c r="D32" s="2"/>
      <c r="E32" s="2"/>
      <c r="F32" s="2"/>
      <c r="G32" s="2"/>
    </row>
    <row r="33" ht="15.0" customHeight="1">
      <c r="A33" s="2"/>
      <c r="B33" s="81" t="s">
        <v>131</v>
      </c>
      <c r="C33" s="82">
        <f>'Weekly Operating'!F124</f>
        <v>135757</v>
      </c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0" customHeight="1">
      <c r="A36" s="76" t="s">
        <v>132</v>
      </c>
      <c r="B36" s="25"/>
      <c r="C36" s="25"/>
      <c r="D36" s="25"/>
      <c r="E36" s="25"/>
      <c r="F36" s="25"/>
      <c r="G36" s="6"/>
    </row>
    <row r="37" ht="15.0" customHeight="1">
      <c r="A37" s="2"/>
      <c r="B37" s="79" t="s">
        <v>133</v>
      </c>
      <c r="C37" s="80">
        <f>'Seating Plan'!F26</f>
        <v>163000</v>
      </c>
      <c r="D37" s="2"/>
      <c r="E37" s="2"/>
      <c r="F37" s="2"/>
      <c r="G37" s="2"/>
    </row>
    <row r="38" ht="15.0" customHeight="1">
      <c r="A38" s="2"/>
      <c r="B38" s="77" t="s">
        <v>134</v>
      </c>
      <c r="C38" s="78">
        <f>'Seating Plan'!G57</f>
        <v>16830</v>
      </c>
      <c r="D38" s="2"/>
      <c r="E38" s="2"/>
      <c r="F38" s="2"/>
      <c r="G38" s="2"/>
    </row>
    <row r="39" ht="15.0" customHeight="1">
      <c r="A39" s="2"/>
      <c r="B39" s="79" t="s">
        <v>135</v>
      </c>
      <c r="C39" s="80">
        <f>'Seating Plan'!F26+'Seating Plan'!G57</f>
        <v>179830</v>
      </c>
      <c r="D39" s="2"/>
      <c r="E39" s="2"/>
      <c r="F39" s="2"/>
      <c r="G39" s="2"/>
    </row>
    <row r="40" ht="15.75" customHeight="1">
      <c r="A40" s="2"/>
      <c r="B40" s="77" t="s">
        <v>136</v>
      </c>
      <c r="C40" s="83">
        <f>'Seating Plan'!F26+'Seating Plan'!G57-'Weekly Operating'!F124</f>
        <v>44073</v>
      </c>
      <c r="D40" s="2"/>
      <c r="E40" s="2"/>
      <c r="F40" s="2"/>
      <c r="G40" s="2"/>
    </row>
    <row r="41" ht="15.0" customHeight="1">
      <c r="A41" s="2"/>
      <c r="B41" s="77" t="s">
        <v>137</v>
      </c>
      <c r="C41" s="83">
        <f>('Seating Plan'!F26*0.8+'Seating Plan'!G57*0.8)-(('Weekly Operating'!F124-0.03*'Seating Plan'!F26)+0.03*0.8*'Seating Plan'!F26)</f>
        <v>9085</v>
      </c>
      <c r="D41" s="2"/>
      <c r="E41" s="2"/>
      <c r="F41" s="2"/>
      <c r="G41" s="2"/>
    </row>
    <row r="42" ht="15.0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79" t="s">
        <v>138</v>
      </c>
      <c r="C43" s="84">
        <f>Recoupment!C28</f>
        <v>0.748067909</v>
      </c>
      <c r="D43" s="2"/>
      <c r="E43" s="2"/>
      <c r="F43" s="2"/>
      <c r="G43" s="2"/>
    </row>
    <row r="44" ht="15.75" customHeight="1">
      <c r="A44" s="2"/>
      <c r="B44" s="77" t="s">
        <v>139</v>
      </c>
      <c r="C44" s="85">
        <f>IF(('Seating Plan'!F26*0.8+'Seating Plan'!G57*0.8)-(('Weekly Operating'!F124-0.03*'Seating Plan'!F26)+0.03*0.8*'Seating Plan'!F26)&gt;0,'Production Budget'!F263/(('Seating Plan'!F26*0.8+'Seating Plan'!G57*0.8)-(('Weekly Operating'!F124-0.03*'Seating Plan'!F26)+0.03*0.8*'Seating Plan'!F26)),"—")</f>
        <v>665.6962342</v>
      </c>
      <c r="D44" s="2"/>
      <c r="E44" s="2"/>
      <c r="F44" s="2"/>
      <c r="G44" s="2"/>
    </row>
    <row r="45" ht="15.0" customHeight="1">
      <c r="A45" s="2"/>
    </row>
    <row r="46" ht="15.0" customHeight="1">
      <c r="A46" s="2"/>
      <c r="B46" s="2"/>
      <c r="C46" s="2"/>
      <c r="D46" s="2"/>
      <c r="E46" s="2"/>
    </row>
    <row r="47" ht="21.75" customHeight="1">
      <c r="A47" s="86" t="s">
        <v>140</v>
      </c>
      <c r="B47" s="2"/>
      <c r="C47" s="2"/>
      <c r="D47" s="2"/>
      <c r="E47" s="2"/>
    </row>
    <row r="48" ht="15.0" customHeight="1">
      <c r="A48" s="2"/>
      <c r="B48" s="87" t="s">
        <v>68</v>
      </c>
      <c r="C48" s="88" t="s">
        <v>49</v>
      </c>
      <c r="D48" s="88" t="s">
        <v>69</v>
      </c>
      <c r="E48" s="89" t="s">
        <v>141</v>
      </c>
      <c r="F48" s="25"/>
      <c r="G48" s="6"/>
    </row>
    <row r="49" ht="15.0" customHeight="1">
      <c r="A49" s="2"/>
      <c r="B49" s="77" t="s">
        <v>142</v>
      </c>
      <c r="C49" s="83">
        <f>('Production Budget'!F263)*0.55</f>
        <v>3326317.658</v>
      </c>
      <c r="D49" s="90">
        <v>0.55</v>
      </c>
      <c r="E49" s="91" t="s">
        <v>143</v>
      </c>
    </row>
    <row r="50" ht="15.0" customHeight="1">
      <c r="A50" s="2"/>
      <c r="B50" s="77" t="s">
        <v>73</v>
      </c>
      <c r="C50" s="83">
        <f>('Production Budget'!F263)*0.25</f>
        <v>1511962.572</v>
      </c>
      <c r="D50" s="90">
        <v>0.25</v>
      </c>
      <c r="E50" s="91" t="s">
        <v>144</v>
      </c>
    </row>
    <row r="51" ht="15.0" customHeight="1">
      <c r="A51" s="2"/>
      <c r="B51" s="77" t="s">
        <v>75</v>
      </c>
      <c r="C51" s="83">
        <f>('Production Budget'!F263)*0.15</f>
        <v>907177.5432</v>
      </c>
      <c r="D51" s="90">
        <v>0.15</v>
      </c>
      <c r="E51" s="91" t="s">
        <v>145</v>
      </c>
      <c r="F51" s="2"/>
      <c r="G51" s="2"/>
    </row>
    <row r="52" ht="15.75" customHeight="1">
      <c r="A52" s="2"/>
      <c r="B52" s="77" t="s">
        <v>146</v>
      </c>
      <c r="C52" s="83">
        <f>('Production Budget'!F263)*0.05</f>
        <v>302392.5144</v>
      </c>
      <c r="D52" s="90">
        <v>0.05</v>
      </c>
      <c r="E52" s="91" t="s">
        <v>147</v>
      </c>
      <c r="F52" s="2"/>
      <c r="G52" s="2"/>
    </row>
    <row r="53" ht="15.0" customHeight="1">
      <c r="A53" s="2"/>
      <c r="B53" s="79" t="s">
        <v>123</v>
      </c>
      <c r="C53" s="80">
        <f>'Production Budget'!F263</f>
        <v>6047850.288</v>
      </c>
      <c r="D53" s="84">
        <v>1.0</v>
      </c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0" customHeight="1">
      <c r="A55" s="2"/>
      <c r="B55" s="92" t="s">
        <v>148</v>
      </c>
    </row>
    <row r="56" ht="15.0" customHeight="1">
      <c r="A56" s="2"/>
      <c r="B56" s="2"/>
    </row>
    <row r="57" ht="15.0" customHeight="1">
      <c r="A57" s="2"/>
      <c r="B57" s="93"/>
    </row>
    <row r="58" ht="15.0" customHeight="1">
      <c r="A58" s="2"/>
      <c r="B58" s="91"/>
    </row>
    <row r="59" ht="15.0" customHeight="1">
      <c r="A59" s="2"/>
      <c r="B59" s="91"/>
    </row>
    <row r="60" ht="15.0" customHeight="1">
      <c r="A60" s="2"/>
      <c r="B60" s="91"/>
    </row>
    <row r="61" ht="15.0" customHeight="1">
      <c r="A61" s="2"/>
      <c r="B61" s="91"/>
    </row>
    <row r="62" ht="15.0" customHeight="1">
      <c r="A62" s="2"/>
      <c r="B62" s="91"/>
    </row>
    <row r="63" ht="15.75" customHeight="1">
      <c r="A63" s="2"/>
      <c r="B63" s="91"/>
      <c r="C63" s="2"/>
      <c r="D63" s="2"/>
      <c r="E63" s="2"/>
      <c r="F63" s="2"/>
      <c r="G63" s="2"/>
    </row>
    <row r="64" ht="15.75" customHeight="1">
      <c r="A64" s="2"/>
      <c r="B64" s="91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19">
    <mergeCell ref="A6:G6"/>
    <mergeCell ref="A7:G7"/>
    <mergeCell ref="A9:G9"/>
    <mergeCell ref="A26:G26"/>
    <mergeCell ref="A36:G36"/>
    <mergeCell ref="A45:G45"/>
    <mergeCell ref="E46:G46"/>
    <mergeCell ref="B58:G58"/>
    <mergeCell ref="B59:G59"/>
    <mergeCell ref="B60:G60"/>
    <mergeCell ref="B61:G61"/>
    <mergeCell ref="B62:G62"/>
    <mergeCell ref="E47:G47"/>
    <mergeCell ref="E48:G48"/>
    <mergeCell ref="E49:G49"/>
    <mergeCell ref="E50:G50"/>
    <mergeCell ref="B55:G55"/>
    <mergeCell ref="B56:G56"/>
    <mergeCell ref="B57:G5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0.0"/>
    <col customWidth="1" min="3" max="3" width="14.0"/>
    <col customWidth="1" min="4" max="4" width="4.0"/>
    <col customWidth="1" min="5" max="5" width="34.0"/>
    <col customWidth="1" min="6" max="6" width="14.0"/>
    <col customWidth="1" min="7" max="26" width="8.71"/>
  </cols>
  <sheetData>
    <row r="1" ht="15.0" customHeight="1">
      <c r="A1" s="69" t="s">
        <v>104</v>
      </c>
      <c r="B1" s="2"/>
      <c r="C1" s="2"/>
      <c r="D1" s="2"/>
      <c r="E1" s="2"/>
      <c r="F1" s="70"/>
    </row>
    <row r="2" ht="15.0" customHeight="1">
      <c r="A2" s="71" t="s">
        <v>105</v>
      </c>
      <c r="B2" s="2"/>
      <c r="C2" s="2"/>
      <c r="D2" s="2"/>
      <c r="E2" s="2"/>
      <c r="F2" s="2"/>
    </row>
    <row r="3" ht="15.0" customHeight="1">
      <c r="A3" s="71" t="s">
        <v>106</v>
      </c>
      <c r="B3" s="2"/>
      <c r="C3" s="2"/>
      <c r="D3" s="2"/>
      <c r="E3" s="2"/>
      <c r="F3" s="2"/>
    </row>
    <row r="4" ht="15.0" customHeight="1">
      <c r="A4" s="72" t="s">
        <v>107</v>
      </c>
      <c r="B4" s="2"/>
      <c r="C4" s="2"/>
      <c r="D4" s="2"/>
      <c r="E4" s="2"/>
      <c r="F4" s="73" t="s">
        <v>108</v>
      </c>
    </row>
    <row r="5">
      <c r="A5" s="2"/>
      <c r="B5" s="2"/>
      <c r="C5" s="2"/>
      <c r="D5" s="2"/>
      <c r="E5" s="2"/>
      <c r="F5" s="2"/>
    </row>
    <row r="6" ht="15.0" customHeight="1">
      <c r="A6" s="74" t="s">
        <v>149</v>
      </c>
      <c r="B6" s="25"/>
      <c r="C6" s="25"/>
      <c r="D6" s="25"/>
      <c r="E6" s="25"/>
      <c r="F6" s="6"/>
    </row>
    <row r="7">
      <c r="A7" s="2"/>
      <c r="B7" s="2"/>
      <c r="C7" s="2"/>
      <c r="D7" s="2"/>
      <c r="E7" s="2"/>
      <c r="F7" s="2"/>
    </row>
    <row r="8" ht="15.0" customHeight="1">
      <c r="A8" s="2"/>
      <c r="B8" s="77" t="s">
        <v>150</v>
      </c>
      <c r="C8" s="94">
        <v>2.0</v>
      </c>
      <c r="D8" s="2"/>
      <c r="E8" s="77" t="s">
        <v>151</v>
      </c>
      <c r="F8" s="95" t="s">
        <v>152</v>
      </c>
    </row>
    <row r="9" ht="15.0" customHeight="1">
      <c r="A9" s="2"/>
      <c r="B9" s="77" t="s">
        <v>153</v>
      </c>
      <c r="C9" s="94">
        <v>2.0</v>
      </c>
      <c r="D9" s="2"/>
      <c r="E9" s="77" t="s">
        <v>154</v>
      </c>
      <c r="F9" s="95" t="s">
        <v>155</v>
      </c>
    </row>
    <row r="10" ht="15.0" customHeight="1">
      <c r="A10" s="2"/>
      <c r="B10" s="77" t="s">
        <v>156</v>
      </c>
      <c r="C10" s="94">
        <v>2.0</v>
      </c>
      <c r="D10" s="2"/>
      <c r="E10" s="77" t="s">
        <v>157</v>
      </c>
      <c r="F10" s="95" t="s">
        <v>155</v>
      </c>
    </row>
    <row r="11" ht="15.0" customHeight="1">
      <c r="A11" s="2"/>
      <c r="B11" s="77" t="s">
        <v>158</v>
      </c>
      <c r="C11" s="94">
        <v>60.0</v>
      </c>
      <c r="D11" s="2"/>
      <c r="E11" s="77" t="s">
        <v>159</v>
      </c>
      <c r="F11" s="95" t="s">
        <v>155</v>
      </c>
    </row>
    <row r="12" ht="15.0" customHeight="1">
      <c r="A12" s="2"/>
      <c r="B12" s="77" t="s">
        <v>160</v>
      </c>
      <c r="C12" s="94">
        <v>12.0</v>
      </c>
      <c r="D12" s="2"/>
      <c r="E12" s="77" t="s">
        <v>161</v>
      </c>
      <c r="F12" s="95" t="s">
        <v>162</v>
      </c>
    </row>
    <row r="13" ht="15.0" customHeight="1">
      <c r="A13" s="2"/>
      <c r="B13" s="77" t="s">
        <v>163</v>
      </c>
      <c r="C13" s="94">
        <v>150.0</v>
      </c>
      <c r="D13" s="2"/>
      <c r="E13" s="77" t="s">
        <v>164</v>
      </c>
      <c r="F13" s="95" t="s">
        <v>165</v>
      </c>
    </row>
    <row r="14" ht="15.0" customHeight="1">
      <c r="A14" s="2"/>
      <c r="B14" s="77" t="s">
        <v>166</v>
      </c>
      <c r="C14" s="94">
        <v>30100.0</v>
      </c>
      <c r="D14" s="2"/>
      <c r="E14" s="77" t="s">
        <v>167</v>
      </c>
      <c r="F14" s="94">
        <v>1.0</v>
      </c>
    </row>
    <row r="15" ht="15.0" customHeight="1">
      <c r="A15" s="2"/>
      <c r="B15" s="77" t="s">
        <v>168</v>
      </c>
      <c r="C15" s="96">
        <v>20000.0</v>
      </c>
      <c r="D15" s="2"/>
      <c r="E15" s="77" t="s">
        <v>169</v>
      </c>
      <c r="F15" s="94">
        <v>2.0</v>
      </c>
    </row>
    <row r="16" ht="15.0" customHeight="1">
      <c r="A16" s="2"/>
      <c r="B16" s="77" t="s">
        <v>170</v>
      </c>
      <c r="C16" s="94">
        <v>9.0</v>
      </c>
      <c r="D16" s="2"/>
      <c r="E16" s="77" t="s">
        <v>171</v>
      </c>
      <c r="F16" s="94">
        <v>2.0</v>
      </c>
    </row>
    <row r="17" ht="15.0" customHeight="1">
      <c r="A17" s="2"/>
      <c r="B17" s="77" t="s">
        <v>172</v>
      </c>
      <c r="C17" s="94">
        <v>0.0</v>
      </c>
      <c r="D17" s="2"/>
      <c r="E17" s="77" t="s">
        <v>173</v>
      </c>
      <c r="F17" s="94">
        <v>2.0</v>
      </c>
    </row>
    <row r="18" ht="15.0" customHeight="1">
      <c r="A18" s="2"/>
      <c r="B18" s="77" t="s">
        <v>174</v>
      </c>
      <c r="C18" s="94">
        <v>9.0</v>
      </c>
      <c r="D18" s="2"/>
      <c r="E18" s="77" t="s">
        <v>175</v>
      </c>
      <c r="F18" s="94">
        <v>1.0</v>
      </c>
    </row>
    <row r="19" ht="15.0" customHeight="1">
      <c r="A19" s="2"/>
      <c r="B19" s="77" t="s">
        <v>176</v>
      </c>
      <c r="C19" s="94">
        <v>5.0</v>
      </c>
      <c r="D19" s="2"/>
      <c r="E19" s="77" t="s">
        <v>177</v>
      </c>
      <c r="F19" s="94">
        <v>3.0</v>
      </c>
    </row>
    <row r="20" ht="15.0" customHeight="1">
      <c r="A20" s="2"/>
      <c r="B20" s="77" t="s">
        <v>178</v>
      </c>
      <c r="C20" s="94">
        <v>5.0</v>
      </c>
      <c r="D20" s="2"/>
      <c r="E20" s="77" t="s">
        <v>179</v>
      </c>
      <c r="F20" s="94">
        <v>1.0</v>
      </c>
    </row>
    <row r="21" ht="15.0" customHeight="1">
      <c r="A21" s="2"/>
      <c r="B21" s="77" t="s">
        <v>180</v>
      </c>
      <c r="C21" s="94">
        <v>4.0</v>
      </c>
      <c r="D21" s="2"/>
      <c r="E21" s="77" t="s">
        <v>181</v>
      </c>
      <c r="F21" s="95" t="s">
        <v>182</v>
      </c>
    </row>
    <row r="22" ht="15.0" customHeight="1">
      <c r="A22" s="2"/>
      <c r="B22" s="77" t="s">
        <v>183</v>
      </c>
      <c r="C22" s="94">
        <v>1.0</v>
      </c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0" customHeight="1">
      <c r="A25" s="2"/>
      <c r="B25" s="92" t="s">
        <v>184</v>
      </c>
      <c r="C25" s="2"/>
      <c r="D25" s="2"/>
      <c r="E25" s="2"/>
      <c r="F25" s="2"/>
    </row>
    <row r="26" ht="15.0" customHeight="1">
      <c r="A26" s="2"/>
      <c r="B26" s="91" t="s">
        <v>185</v>
      </c>
    </row>
    <row r="27" ht="15.0" customHeight="1">
      <c r="A27" s="2"/>
      <c r="B27" s="91" t="s">
        <v>186</v>
      </c>
    </row>
    <row r="28" ht="15.0" customHeight="1">
      <c r="A28" s="2"/>
      <c r="B28" s="91" t="s">
        <v>187</v>
      </c>
    </row>
    <row r="29" ht="15.0" customHeight="1">
      <c r="A29" s="2"/>
      <c r="B29" s="91" t="s">
        <v>188</v>
      </c>
    </row>
    <row r="30" ht="15.0" customHeight="1">
      <c r="A30" s="2"/>
      <c r="B30" s="91" t="s">
        <v>189</v>
      </c>
    </row>
    <row r="31" ht="15.0" customHeight="1">
      <c r="A31" s="2"/>
      <c r="B31" s="91" t="s">
        <v>190</v>
      </c>
    </row>
    <row r="32" ht="15.0" customHeight="1">
      <c r="A32" s="2"/>
      <c r="B32" s="91" t="s">
        <v>191</v>
      </c>
    </row>
    <row r="33" ht="15.0" customHeight="1">
      <c r="A33" s="2"/>
      <c r="B33" s="91" t="s">
        <v>192</v>
      </c>
    </row>
    <row r="34" ht="15.0" customHeight="1">
      <c r="A34" s="2"/>
      <c r="B34" s="91" t="s">
        <v>193</v>
      </c>
    </row>
    <row r="35" ht="15.0" customHeight="1">
      <c r="A35" s="2"/>
      <c r="B35" s="91" t="s">
        <v>194</v>
      </c>
    </row>
    <row r="36" ht="15.0" customHeight="1">
      <c r="A36" s="2"/>
      <c r="B36" s="91" t="s">
        <v>195</v>
      </c>
    </row>
    <row r="37" ht="15.0" customHeight="1">
      <c r="A37" s="2"/>
      <c r="B37" s="91" t="s">
        <v>196</v>
      </c>
    </row>
    <row r="38" ht="15.0" customHeight="1">
      <c r="A38" s="2"/>
      <c r="B38" s="91" t="s">
        <v>197</v>
      </c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14">
    <mergeCell ref="B32:F32"/>
    <mergeCell ref="B33:F33"/>
    <mergeCell ref="B34:F34"/>
    <mergeCell ref="B35:F35"/>
    <mergeCell ref="B36:F36"/>
    <mergeCell ref="B37:F37"/>
    <mergeCell ref="B38:F38"/>
    <mergeCell ref="A6:F6"/>
    <mergeCell ref="B26:F26"/>
    <mergeCell ref="B27:F27"/>
    <mergeCell ref="B28:F28"/>
    <mergeCell ref="B29:F29"/>
    <mergeCell ref="B30:F30"/>
    <mergeCell ref="B31:F3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2.0"/>
    <col customWidth="1" min="3" max="3" width="10.0"/>
    <col customWidth="1" min="4" max="6" width="14.0"/>
    <col customWidth="1" min="7" max="26" width="8.71"/>
  </cols>
  <sheetData>
    <row r="1" ht="15.0" customHeight="1">
      <c r="A1" s="69" t="s">
        <v>104</v>
      </c>
      <c r="B1" s="2"/>
      <c r="C1" s="2"/>
      <c r="D1" s="2"/>
      <c r="E1" s="2"/>
      <c r="F1" s="70"/>
    </row>
    <row r="2" ht="15.0" customHeight="1">
      <c r="A2" s="71"/>
      <c r="B2" s="2"/>
      <c r="C2" s="2"/>
      <c r="D2" s="2"/>
      <c r="E2" s="2"/>
      <c r="F2" s="2"/>
    </row>
    <row r="3" ht="15.0" customHeight="1">
      <c r="A3" s="71"/>
      <c r="B3" s="2"/>
      <c r="C3" s="2"/>
      <c r="D3" s="2"/>
      <c r="E3" s="2"/>
      <c r="F3" s="2"/>
    </row>
    <row r="4" ht="15.0" customHeight="1">
      <c r="A4" s="72" t="s">
        <v>107</v>
      </c>
      <c r="B4" s="2"/>
      <c r="C4" s="2"/>
      <c r="D4" s="2"/>
      <c r="E4" s="2"/>
      <c r="F4" s="73" t="s">
        <v>108</v>
      </c>
    </row>
    <row r="5">
      <c r="A5" s="2"/>
      <c r="B5" s="2"/>
      <c r="C5" s="2"/>
      <c r="D5" s="2"/>
      <c r="E5" s="2"/>
      <c r="F5" s="2"/>
    </row>
    <row r="6" ht="15.0" customHeight="1">
      <c r="A6" s="74" t="s">
        <v>198</v>
      </c>
      <c r="B6" s="25"/>
      <c r="C6" s="25"/>
      <c r="D6" s="25"/>
      <c r="E6" s="25"/>
      <c r="F6" s="6"/>
    </row>
    <row r="7" ht="15.0" customHeight="1">
      <c r="A7" s="97" t="s">
        <v>199</v>
      </c>
      <c r="B7" s="25"/>
      <c r="C7" s="25"/>
      <c r="D7" s="25"/>
      <c r="E7" s="25"/>
      <c r="F7" s="6"/>
    </row>
    <row r="8">
      <c r="A8" s="2"/>
      <c r="B8" s="2"/>
      <c r="C8" s="2"/>
      <c r="D8" s="2"/>
      <c r="E8" s="2"/>
      <c r="F8" s="2"/>
    </row>
    <row r="9" ht="15.0" customHeight="1">
      <c r="A9" s="98" t="s">
        <v>111</v>
      </c>
      <c r="B9" s="25"/>
      <c r="C9" s="25"/>
      <c r="D9" s="25"/>
      <c r="E9" s="25"/>
      <c r="F9" s="6"/>
    </row>
    <row r="10" ht="15.0" customHeight="1">
      <c r="A10" s="2"/>
      <c r="B10" s="2"/>
      <c r="C10" s="99" t="s">
        <v>200</v>
      </c>
      <c r="D10" s="99" t="s">
        <v>201</v>
      </c>
      <c r="E10" s="99" t="s">
        <v>202</v>
      </c>
      <c r="F10" s="99" t="s">
        <v>203</v>
      </c>
    </row>
    <row r="11" ht="15.0" customHeight="1">
      <c r="A11" s="77" t="s">
        <v>204</v>
      </c>
      <c r="B11" s="77" t="s">
        <v>205</v>
      </c>
      <c r="C11" s="2"/>
      <c r="D11" s="2"/>
      <c r="E11" s="96">
        <v>750000.0</v>
      </c>
      <c r="F11" s="2"/>
    </row>
    <row r="12" ht="15.0" customHeight="1">
      <c r="A12" s="77" t="s">
        <v>206</v>
      </c>
      <c r="B12" s="77" t="s">
        <v>207</v>
      </c>
      <c r="C12" s="2"/>
      <c r="D12" s="2"/>
      <c r="E12" s="96">
        <v>35000.0</v>
      </c>
      <c r="F12" s="2"/>
    </row>
    <row r="13" ht="15.0" customHeight="1">
      <c r="A13" s="77" t="s">
        <v>208</v>
      </c>
      <c r="B13" s="77" t="s">
        <v>209</v>
      </c>
      <c r="C13" s="2"/>
      <c r="D13" s="2"/>
      <c r="E13" s="96">
        <v>125000.0</v>
      </c>
      <c r="F13" s="2"/>
    </row>
    <row r="14" ht="15.0" customHeight="1">
      <c r="A14" s="77" t="s">
        <v>210</v>
      </c>
      <c r="B14" s="77" t="s">
        <v>211</v>
      </c>
      <c r="C14" s="2"/>
      <c r="D14" s="2"/>
      <c r="E14" s="96">
        <v>45000.0</v>
      </c>
      <c r="F14" s="2"/>
    </row>
    <row r="15" ht="15.0" customHeight="1">
      <c r="A15" s="77" t="s">
        <v>212</v>
      </c>
      <c r="B15" s="77" t="s">
        <v>213</v>
      </c>
      <c r="C15" s="2"/>
      <c r="D15" s="2"/>
      <c r="E15" s="96">
        <v>20000.0</v>
      </c>
      <c r="F15" s="2"/>
    </row>
    <row r="16" ht="15.0" customHeight="1">
      <c r="A16" s="77" t="s">
        <v>214</v>
      </c>
      <c r="B16" s="77" t="s">
        <v>215</v>
      </c>
      <c r="C16" s="2"/>
      <c r="D16" s="2"/>
      <c r="E16" s="96">
        <v>12000.0</v>
      </c>
      <c r="F16" s="2"/>
    </row>
    <row r="17" ht="15.0" customHeight="1">
      <c r="A17" s="77" t="s">
        <v>216</v>
      </c>
      <c r="B17" s="77" t="s">
        <v>217</v>
      </c>
      <c r="C17" s="2"/>
      <c r="D17" s="2"/>
      <c r="E17" s="96">
        <v>25000.0</v>
      </c>
      <c r="F17" s="2"/>
    </row>
    <row r="18" ht="15.0" customHeight="1">
      <c r="A18" s="77" t="s">
        <v>218</v>
      </c>
      <c r="B18" s="77" t="s">
        <v>219</v>
      </c>
      <c r="C18" s="100">
        <v>25.0</v>
      </c>
      <c r="D18" s="96">
        <v>2000.0</v>
      </c>
      <c r="E18" s="83">
        <f t="shared" ref="E18:E19" si="1">C18*D18</f>
        <v>50000</v>
      </c>
      <c r="F18" s="2"/>
    </row>
    <row r="19" ht="15.0" customHeight="1">
      <c r="A19" s="77" t="s">
        <v>220</v>
      </c>
      <c r="B19" s="77" t="s">
        <v>221</v>
      </c>
      <c r="C19" s="100">
        <v>4.0</v>
      </c>
      <c r="D19" s="96">
        <v>2000.0</v>
      </c>
      <c r="E19" s="83">
        <f t="shared" si="1"/>
        <v>8000</v>
      </c>
      <c r="F19" s="2"/>
    </row>
    <row r="20" ht="15.0" customHeight="1">
      <c r="A20" s="77" t="s">
        <v>222</v>
      </c>
      <c r="B20" s="77" t="s">
        <v>223</v>
      </c>
      <c r="C20" s="2"/>
      <c r="D20" s="2"/>
      <c r="E20" s="96">
        <v>4500.0</v>
      </c>
      <c r="F20" s="2"/>
    </row>
    <row r="21" ht="15.0" customHeight="1">
      <c r="A21" s="77" t="s">
        <v>224</v>
      </c>
      <c r="B21" s="77" t="s">
        <v>225</v>
      </c>
      <c r="C21" s="2"/>
      <c r="D21" s="2"/>
      <c r="E21" s="96">
        <v>3000.0</v>
      </c>
      <c r="F21" s="2"/>
    </row>
    <row r="22" ht="15.0" customHeight="1">
      <c r="A22" s="77" t="s">
        <v>226</v>
      </c>
      <c r="B22" s="77" t="s">
        <v>227</v>
      </c>
      <c r="C22" s="2"/>
      <c r="D22" s="2"/>
      <c r="E22" s="96">
        <v>200000.0</v>
      </c>
      <c r="F22" s="2"/>
    </row>
    <row r="23" ht="15.0" customHeight="1">
      <c r="A23" s="77" t="s">
        <v>228</v>
      </c>
      <c r="B23" s="77" t="s">
        <v>229</v>
      </c>
      <c r="C23" s="2"/>
      <c r="D23" s="2"/>
      <c r="E23" s="96">
        <v>22000.0</v>
      </c>
      <c r="F23" s="2"/>
    </row>
    <row r="24" ht="15.0" customHeight="1">
      <c r="A24" s="77" t="s">
        <v>230</v>
      </c>
      <c r="B24" s="77" t="s">
        <v>231</v>
      </c>
      <c r="C24" s="2"/>
      <c r="D24" s="2"/>
      <c r="E24" s="96">
        <v>65000.0</v>
      </c>
      <c r="F24" s="2"/>
    </row>
    <row r="25" ht="15.0" customHeight="1">
      <c r="A25" s="77" t="s">
        <v>232</v>
      </c>
      <c r="B25" s="77" t="s">
        <v>233</v>
      </c>
      <c r="C25" s="2"/>
      <c r="D25" s="2"/>
      <c r="E25" s="96">
        <v>15000.0</v>
      </c>
      <c r="F25" s="2"/>
    </row>
    <row r="26" ht="15.0" customHeight="1">
      <c r="A26" s="77" t="s">
        <v>234</v>
      </c>
      <c r="B26" s="77" t="s">
        <v>235</v>
      </c>
      <c r="C26" s="2"/>
      <c r="D26" s="2"/>
      <c r="E26" s="96">
        <v>140000.0</v>
      </c>
      <c r="F26" s="2"/>
    </row>
    <row r="27" ht="15.0" customHeight="1">
      <c r="A27" s="77" t="s">
        <v>236</v>
      </c>
      <c r="B27" s="77" t="s">
        <v>237</v>
      </c>
      <c r="C27" s="2"/>
      <c r="D27" s="2"/>
      <c r="E27" s="96">
        <v>15000.0</v>
      </c>
      <c r="F27" s="2"/>
    </row>
    <row r="28" ht="15.0" customHeight="1">
      <c r="A28" s="77" t="s">
        <v>238</v>
      </c>
      <c r="B28" s="77" t="s">
        <v>239</v>
      </c>
      <c r="C28" s="2"/>
      <c r="D28" s="2"/>
      <c r="E28" s="96">
        <v>30000.0</v>
      </c>
      <c r="F28" s="2"/>
    </row>
    <row r="29" ht="15.0" customHeight="1">
      <c r="A29" s="77" t="s">
        <v>240</v>
      </c>
      <c r="B29" s="77" t="s">
        <v>241</v>
      </c>
      <c r="C29" s="2"/>
      <c r="D29" s="2"/>
      <c r="E29" s="96">
        <v>385000.0</v>
      </c>
      <c r="F29" s="2"/>
    </row>
    <row r="30" ht="15.0" customHeight="1">
      <c r="A30" s="77" t="s">
        <v>242</v>
      </c>
      <c r="B30" s="77" t="s">
        <v>243</v>
      </c>
      <c r="C30" s="2"/>
      <c r="D30" s="2"/>
      <c r="E30" s="96">
        <v>55000.0</v>
      </c>
      <c r="F30" s="2"/>
    </row>
    <row r="31" ht="15.0" customHeight="1">
      <c r="A31" s="77" t="s">
        <v>244</v>
      </c>
      <c r="B31" s="77" t="s">
        <v>245</v>
      </c>
      <c r="C31" s="2"/>
      <c r="D31" s="2"/>
      <c r="E31" s="96">
        <v>75000.0</v>
      </c>
      <c r="F31" s="2"/>
    </row>
    <row r="32" ht="15.0" customHeight="1">
      <c r="A32" s="77" t="s">
        <v>246</v>
      </c>
      <c r="B32" s="77" t="s">
        <v>247</v>
      </c>
      <c r="C32" s="2"/>
      <c r="D32" s="2"/>
      <c r="E32" s="96">
        <v>12000.0</v>
      </c>
      <c r="F32" s="2"/>
    </row>
    <row r="33" ht="15.0" customHeight="1">
      <c r="A33" s="77" t="s">
        <v>248</v>
      </c>
      <c r="B33" s="77" t="s">
        <v>249</v>
      </c>
      <c r="C33" s="100">
        <v>9.0</v>
      </c>
      <c r="D33" s="96">
        <v>750.0</v>
      </c>
      <c r="E33" s="83">
        <f>C33*D33</f>
        <v>6750</v>
      </c>
      <c r="F33" s="2"/>
    </row>
    <row r="34" ht="15.0" customHeight="1">
      <c r="A34" s="77" t="s">
        <v>250</v>
      </c>
      <c r="B34" s="77" t="s">
        <v>251</v>
      </c>
      <c r="C34" s="2"/>
      <c r="D34" s="2"/>
      <c r="E34" s="96">
        <v>8000.0</v>
      </c>
      <c r="F34" s="2"/>
    </row>
    <row r="35" ht="15.0" customHeight="1">
      <c r="A35" s="77" t="s">
        <v>252</v>
      </c>
      <c r="B35" s="77" t="s">
        <v>253</v>
      </c>
      <c r="C35" s="2"/>
      <c r="D35" s="2"/>
      <c r="E35" s="96">
        <v>18000.0</v>
      </c>
      <c r="F35" s="2"/>
    </row>
    <row r="36" ht="15.0" customHeight="1">
      <c r="A36" s="77" t="s">
        <v>254</v>
      </c>
      <c r="B36" s="77" t="s">
        <v>255</v>
      </c>
      <c r="C36" s="2"/>
      <c r="D36" s="2"/>
      <c r="E36" s="96">
        <v>30000.0</v>
      </c>
      <c r="F36" s="2"/>
    </row>
    <row r="37" ht="15.0" customHeight="1">
      <c r="A37" s="77" t="s">
        <v>256</v>
      </c>
      <c r="B37" s="77" t="s">
        <v>257</v>
      </c>
      <c r="C37" s="2"/>
      <c r="D37" s="2"/>
      <c r="E37" s="96">
        <v>85000.0</v>
      </c>
      <c r="F37" s="2"/>
    </row>
    <row r="38" ht="15.0" customHeight="1">
      <c r="A38" s="77" t="s">
        <v>258</v>
      </c>
      <c r="B38" s="77" t="s">
        <v>259</v>
      </c>
      <c r="C38" s="2"/>
      <c r="D38" s="2"/>
      <c r="E38" s="96">
        <v>75000.0</v>
      </c>
      <c r="F38" s="2"/>
    </row>
    <row r="39" ht="15.75" customHeight="1">
      <c r="A39" s="2"/>
      <c r="B39" s="2"/>
      <c r="C39" s="2"/>
      <c r="D39" s="2"/>
      <c r="E39" s="2"/>
      <c r="F39" s="2"/>
    </row>
    <row r="40" ht="15.0" customHeight="1">
      <c r="A40" s="2"/>
      <c r="B40" s="79" t="s">
        <v>260</v>
      </c>
      <c r="C40" s="2"/>
      <c r="D40" s="2"/>
      <c r="E40" s="2"/>
      <c r="F40" s="80">
        <f>SUM(E11:E38)</f>
        <v>2314250</v>
      </c>
    </row>
    <row r="41" ht="15.75" customHeight="1">
      <c r="A41" s="2"/>
      <c r="B41" s="2"/>
      <c r="C41" s="2"/>
      <c r="D41" s="2"/>
      <c r="E41" s="2"/>
      <c r="F41" s="2"/>
    </row>
    <row r="42" ht="15.0" customHeight="1">
      <c r="A42" s="98" t="s">
        <v>112</v>
      </c>
      <c r="B42" s="25"/>
      <c r="C42" s="25"/>
      <c r="D42" s="25"/>
      <c r="E42" s="25"/>
      <c r="F42" s="6"/>
    </row>
    <row r="43" ht="15.0" customHeight="1">
      <c r="A43" s="2"/>
      <c r="B43" s="2"/>
      <c r="C43" s="99" t="s">
        <v>200</v>
      </c>
      <c r="D43" s="99" t="s">
        <v>201</v>
      </c>
      <c r="E43" s="99" t="s">
        <v>202</v>
      </c>
      <c r="F43" s="99" t="s">
        <v>203</v>
      </c>
    </row>
    <row r="44" ht="15.0" customHeight="1">
      <c r="A44" s="77" t="s">
        <v>261</v>
      </c>
      <c r="B44" s="77" t="s">
        <v>262</v>
      </c>
      <c r="C44" s="2"/>
      <c r="D44" s="2"/>
      <c r="E44" s="96">
        <v>110000.0</v>
      </c>
      <c r="F44" s="2"/>
    </row>
    <row r="45" ht="15.0" customHeight="1">
      <c r="A45" s="77" t="s">
        <v>263</v>
      </c>
      <c r="B45" s="77" t="s">
        <v>264</v>
      </c>
      <c r="C45" s="2"/>
      <c r="D45" s="2"/>
      <c r="E45" s="96">
        <v>125000.0</v>
      </c>
      <c r="F45" s="2"/>
    </row>
    <row r="46" ht="15.0" customHeight="1">
      <c r="A46" s="77" t="s">
        <v>265</v>
      </c>
      <c r="B46" s="77" t="s">
        <v>266</v>
      </c>
      <c r="C46" s="2"/>
      <c r="D46" s="2"/>
      <c r="E46" s="96">
        <v>12000.0</v>
      </c>
      <c r="F46" s="2"/>
    </row>
    <row r="47" ht="15.0" customHeight="1">
      <c r="A47" s="77" t="s">
        <v>267</v>
      </c>
      <c r="B47" s="77" t="s">
        <v>268</v>
      </c>
      <c r="C47" s="2"/>
      <c r="D47" s="2"/>
      <c r="E47" s="96">
        <v>20000.0</v>
      </c>
      <c r="F47" s="2"/>
    </row>
    <row r="48" ht="15.0" customHeight="1">
      <c r="A48" s="77" t="s">
        <v>269</v>
      </c>
      <c r="B48" s="77" t="s">
        <v>270</v>
      </c>
      <c r="C48" s="2"/>
      <c r="D48" s="2"/>
      <c r="E48" s="96">
        <v>8000.0</v>
      </c>
      <c r="F48" s="2"/>
    </row>
    <row r="49" ht="15.0" customHeight="1">
      <c r="A49" s="77" t="s">
        <v>271</v>
      </c>
      <c r="B49" s="77" t="s">
        <v>272</v>
      </c>
      <c r="C49" s="2"/>
      <c r="D49" s="2"/>
      <c r="E49" s="96">
        <v>28000.0</v>
      </c>
      <c r="F49" s="2"/>
    </row>
    <row r="50" ht="15.0" customHeight="1">
      <c r="A50" s="77" t="s">
        <v>273</v>
      </c>
      <c r="B50" s="77" t="s">
        <v>274</v>
      </c>
      <c r="C50" s="2"/>
      <c r="D50" s="2"/>
      <c r="E50" s="96">
        <v>9000.0</v>
      </c>
      <c r="F50" s="2"/>
    </row>
    <row r="51" ht="15.0" customHeight="1">
      <c r="A51" s="77" t="s">
        <v>275</v>
      </c>
      <c r="B51" s="77" t="s">
        <v>276</v>
      </c>
      <c r="C51" s="2"/>
      <c r="D51" s="2"/>
      <c r="E51" s="96">
        <v>18000.0</v>
      </c>
      <c r="F51" s="2"/>
    </row>
    <row r="52" ht="15.0" customHeight="1">
      <c r="A52" s="77" t="s">
        <v>277</v>
      </c>
      <c r="B52" s="77" t="s">
        <v>278</v>
      </c>
      <c r="C52" s="2"/>
      <c r="D52" s="2"/>
      <c r="E52" s="96">
        <v>6000.0</v>
      </c>
      <c r="F52" s="2"/>
    </row>
    <row r="53" ht="15.0" customHeight="1">
      <c r="A53" s="77" t="s">
        <v>279</v>
      </c>
      <c r="B53" s="77" t="s">
        <v>280</v>
      </c>
      <c r="C53" s="2"/>
      <c r="D53" s="2"/>
      <c r="E53" s="96">
        <v>45000.0</v>
      </c>
      <c r="F53" s="2"/>
    </row>
    <row r="54" ht="15.0" customHeight="1">
      <c r="A54" s="77" t="s">
        <v>281</v>
      </c>
      <c r="B54" s="77" t="s">
        <v>282</v>
      </c>
      <c r="C54" s="2"/>
      <c r="D54" s="2"/>
      <c r="E54" s="96">
        <v>22000.0</v>
      </c>
      <c r="F54" s="2"/>
    </row>
    <row r="55" ht="15.0" customHeight="1">
      <c r="A55" s="77" t="s">
        <v>283</v>
      </c>
      <c r="B55" s="77" t="s">
        <v>284</v>
      </c>
      <c r="C55" s="2"/>
      <c r="D55" s="2"/>
      <c r="E55" s="96">
        <v>12000.0</v>
      </c>
      <c r="F55" s="2"/>
    </row>
    <row r="56" ht="15.0" customHeight="1">
      <c r="A56" s="77" t="s">
        <v>285</v>
      </c>
      <c r="B56" s="77" t="s">
        <v>286</v>
      </c>
      <c r="C56" s="2"/>
      <c r="D56" s="2"/>
      <c r="E56" s="96">
        <v>22000.0</v>
      </c>
      <c r="F56" s="2"/>
    </row>
    <row r="57" ht="15.0" customHeight="1">
      <c r="A57" s="77" t="s">
        <v>287</v>
      </c>
      <c r="B57" s="77" t="s">
        <v>288</v>
      </c>
      <c r="C57" s="2"/>
      <c r="D57" s="2"/>
      <c r="E57" s="96">
        <v>7000.0</v>
      </c>
      <c r="F57" s="2"/>
    </row>
    <row r="58" ht="15.0" customHeight="1">
      <c r="A58" s="77" t="s">
        <v>289</v>
      </c>
      <c r="B58" s="77" t="s">
        <v>290</v>
      </c>
      <c r="C58" s="2"/>
      <c r="D58" s="2"/>
      <c r="E58" s="96">
        <v>25000.0</v>
      </c>
      <c r="F58" s="2"/>
    </row>
    <row r="59" ht="15.0" customHeight="1">
      <c r="A59" s="77" t="s">
        <v>291</v>
      </c>
      <c r="B59" s="77" t="s">
        <v>292</v>
      </c>
      <c r="C59" s="2"/>
      <c r="D59" s="2"/>
      <c r="E59" s="96">
        <v>8000.0</v>
      </c>
      <c r="F59" s="2"/>
    </row>
    <row r="60" ht="15.0" customHeight="1">
      <c r="A60" s="77" t="s">
        <v>293</v>
      </c>
      <c r="B60" s="77" t="s">
        <v>294</v>
      </c>
      <c r="C60" s="2"/>
      <c r="D60" s="2"/>
      <c r="E60" s="96">
        <v>9000.0</v>
      </c>
      <c r="F60" s="2"/>
    </row>
    <row r="61" ht="15.0" customHeight="1">
      <c r="A61" s="77" t="s">
        <v>295</v>
      </c>
      <c r="B61" s="77" t="s">
        <v>296</v>
      </c>
      <c r="C61" s="2"/>
      <c r="D61" s="2"/>
      <c r="E61" s="96">
        <v>4000.0</v>
      </c>
      <c r="F61" s="2"/>
    </row>
    <row r="62" ht="15.0" customHeight="1">
      <c r="A62" s="77" t="s">
        <v>297</v>
      </c>
      <c r="B62" s="77" t="s">
        <v>298</v>
      </c>
      <c r="C62" s="2"/>
      <c r="D62" s="2"/>
      <c r="E62" s="96">
        <v>5000.0</v>
      </c>
      <c r="F62" s="2"/>
    </row>
    <row r="63" ht="15.0" customHeight="1">
      <c r="A63" s="77" t="s">
        <v>299</v>
      </c>
      <c r="B63" s="77" t="s">
        <v>300</v>
      </c>
      <c r="C63" s="2"/>
      <c r="D63" s="2"/>
      <c r="E63" s="96">
        <v>2500.0</v>
      </c>
      <c r="F63" s="2"/>
    </row>
    <row r="64" ht="15.0" customHeight="1">
      <c r="A64" s="77" t="s">
        <v>301</v>
      </c>
      <c r="B64" s="77" t="s">
        <v>302</v>
      </c>
      <c r="C64" s="2"/>
      <c r="D64" s="2"/>
      <c r="E64" s="96">
        <v>2500.0</v>
      </c>
      <c r="F64" s="2"/>
    </row>
    <row r="65" ht="15.0" customHeight="1">
      <c r="A65" s="77" t="s">
        <v>303</v>
      </c>
      <c r="B65" s="77" t="s">
        <v>304</v>
      </c>
      <c r="C65" s="2"/>
      <c r="D65" s="2"/>
      <c r="E65" s="96">
        <v>3500.0</v>
      </c>
      <c r="F65" s="2"/>
    </row>
    <row r="66" ht="15.0" customHeight="1">
      <c r="A66" s="77" t="s">
        <v>305</v>
      </c>
      <c r="B66" s="77" t="s">
        <v>306</v>
      </c>
      <c r="C66" s="2"/>
      <c r="D66" s="2"/>
      <c r="E66" s="96">
        <v>3500.0</v>
      </c>
      <c r="F66" s="2"/>
    </row>
    <row r="67" ht="15.0" customHeight="1">
      <c r="A67" s="77" t="s">
        <v>307</v>
      </c>
      <c r="B67" s="77" t="s">
        <v>308</v>
      </c>
      <c r="C67" s="2"/>
      <c r="D67" s="2"/>
      <c r="E67" s="96">
        <v>20000.0</v>
      </c>
      <c r="F67" s="2"/>
    </row>
    <row r="68" ht="15.0" customHeight="1">
      <c r="A68" s="77" t="s">
        <v>309</v>
      </c>
      <c r="B68" s="77" t="s">
        <v>310</v>
      </c>
      <c r="C68" s="2"/>
      <c r="D68" s="2"/>
      <c r="E68" s="96">
        <v>5000.0</v>
      </c>
      <c r="F68" s="2"/>
    </row>
    <row r="69" ht="15.0" customHeight="1">
      <c r="A69" s="77" t="s">
        <v>311</v>
      </c>
      <c r="B69" s="77" t="s">
        <v>312</v>
      </c>
      <c r="C69" s="2"/>
      <c r="D69" s="2"/>
      <c r="E69" s="96">
        <v>5000.0</v>
      </c>
      <c r="F69" s="2"/>
    </row>
    <row r="70" ht="15.0" customHeight="1">
      <c r="A70" s="77" t="s">
        <v>313</v>
      </c>
      <c r="B70" s="77" t="s">
        <v>314</v>
      </c>
      <c r="C70" s="2"/>
      <c r="D70" s="2"/>
      <c r="E70" s="96">
        <v>3500.0</v>
      </c>
      <c r="F70" s="2"/>
    </row>
    <row r="71" ht="15.0" customHeight="1">
      <c r="A71" s="77" t="s">
        <v>315</v>
      </c>
      <c r="B71" s="77" t="s">
        <v>316</v>
      </c>
      <c r="C71" s="2"/>
      <c r="D71" s="2"/>
      <c r="E71" s="96">
        <v>3000.0</v>
      </c>
      <c r="F71" s="2"/>
    </row>
    <row r="72" ht="15.0" customHeight="1">
      <c r="A72" s="77" t="s">
        <v>317</v>
      </c>
      <c r="B72" s="77" t="s">
        <v>318</v>
      </c>
      <c r="C72" s="2"/>
      <c r="D72" s="2"/>
      <c r="E72" s="96">
        <v>20000.0</v>
      </c>
      <c r="F72" s="2"/>
    </row>
    <row r="73" ht="15.0" customHeight="1">
      <c r="A73" s="77" t="s">
        <v>319</v>
      </c>
      <c r="B73" s="77" t="s">
        <v>320</v>
      </c>
      <c r="C73" s="2"/>
      <c r="D73" s="2"/>
      <c r="E73" s="96">
        <v>50000.0</v>
      </c>
      <c r="F73" s="2"/>
    </row>
    <row r="74" ht="15.0" customHeight="1">
      <c r="A74" s="77" t="s">
        <v>321</v>
      </c>
      <c r="B74" s="77" t="s">
        <v>322</v>
      </c>
      <c r="C74" s="2"/>
      <c r="D74" s="2"/>
      <c r="E74" s="96">
        <v>105000.0</v>
      </c>
      <c r="F74" s="2"/>
    </row>
    <row r="75" ht="15.0" customHeight="1">
      <c r="A75" s="77" t="s">
        <v>323</v>
      </c>
      <c r="B75" s="77" t="s">
        <v>324</v>
      </c>
      <c r="C75" s="2"/>
      <c r="D75" s="2"/>
      <c r="E75" s="96">
        <v>20000.0</v>
      </c>
      <c r="F75" s="2"/>
    </row>
    <row r="76" ht="15.0" customHeight="1">
      <c r="A76" s="77" t="s">
        <v>325</v>
      </c>
      <c r="B76" s="77" t="s">
        <v>326</v>
      </c>
      <c r="C76" s="2"/>
      <c r="D76" s="2"/>
      <c r="E76" s="96">
        <v>25000.0</v>
      </c>
      <c r="F76" s="2"/>
    </row>
    <row r="77" ht="15.0" customHeight="1">
      <c r="A77" s="77" t="s">
        <v>327</v>
      </c>
      <c r="B77" s="77" t="s">
        <v>328</v>
      </c>
      <c r="C77" s="2"/>
      <c r="D77" s="2"/>
      <c r="E77" s="96">
        <v>15000.0</v>
      </c>
      <c r="F77" s="2"/>
    </row>
    <row r="78" ht="15.0" customHeight="1">
      <c r="A78" s="77" t="s">
        <v>329</v>
      </c>
      <c r="B78" s="77" t="s">
        <v>330</v>
      </c>
      <c r="C78" s="2"/>
      <c r="D78" s="2"/>
      <c r="E78" s="96">
        <v>3500.0</v>
      </c>
      <c r="F78" s="2"/>
    </row>
    <row r="79" ht="15.0" customHeight="1">
      <c r="A79" s="77" t="s">
        <v>331</v>
      </c>
      <c r="B79" s="77" t="s">
        <v>332</v>
      </c>
      <c r="C79" s="2"/>
      <c r="D79" s="2"/>
      <c r="E79" s="96">
        <v>15000.0</v>
      </c>
      <c r="F79" s="2"/>
    </row>
    <row r="80" ht="15.0" customHeight="1">
      <c r="A80" s="77" t="s">
        <v>333</v>
      </c>
      <c r="B80" s="77" t="s">
        <v>334</v>
      </c>
      <c r="C80" s="2"/>
      <c r="D80" s="2"/>
      <c r="E80" s="96">
        <v>8000.0</v>
      </c>
      <c r="F80" s="2"/>
    </row>
    <row r="81" ht="15.0" customHeight="1">
      <c r="A81" s="77" t="s">
        <v>335</v>
      </c>
      <c r="B81" s="77" t="s">
        <v>336</v>
      </c>
      <c r="C81" s="2"/>
      <c r="D81" s="2"/>
      <c r="E81" s="96">
        <v>7500.0</v>
      </c>
      <c r="F81" s="2"/>
    </row>
    <row r="82" ht="15.0" customHeight="1">
      <c r="A82" s="77" t="s">
        <v>337</v>
      </c>
      <c r="B82" s="77" t="s">
        <v>338</v>
      </c>
      <c r="C82" s="2"/>
      <c r="D82" s="2"/>
      <c r="E82" s="96">
        <v>10000.0</v>
      </c>
      <c r="F82" s="2"/>
    </row>
    <row r="83" ht="15.0" customHeight="1">
      <c r="A83" s="77" t="s">
        <v>339</v>
      </c>
      <c r="B83" s="77" t="s">
        <v>340</v>
      </c>
      <c r="C83" s="2"/>
      <c r="D83" s="90">
        <v>0.045</v>
      </c>
      <c r="E83" s="83">
        <f>D83*(E45+E46+E47+E48)</f>
        <v>7425</v>
      </c>
      <c r="F83" s="2"/>
    </row>
    <row r="84" ht="15.0" customHeight="1">
      <c r="A84" s="77" t="s">
        <v>341</v>
      </c>
      <c r="B84" s="77" t="s">
        <v>342</v>
      </c>
      <c r="C84" s="100">
        <v>32.0</v>
      </c>
      <c r="D84" s="96">
        <v>187.0</v>
      </c>
      <c r="E84" s="83">
        <f>C84*D84</f>
        <v>5984</v>
      </c>
      <c r="F84" s="2"/>
    </row>
    <row r="85" ht="15.0" customHeight="1">
      <c r="A85" s="77" t="s">
        <v>343</v>
      </c>
      <c r="B85" s="77" t="s">
        <v>344</v>
      </c>
      <c r="C85" s="2"/>
      <c r="D85" s="90">
        <v>0.13</v>
      </c>
      <c r="E85" s="83">
        <f>D85*SUM(E49:E59)</f>
        <v>26260</v>
      </c>
      <c r="F85" s="2"/>
    </row>
    <row r="86" ht="15.0" customHeight="1">
      <c r="A86" s="77" t="s">
        <v>345</v>
      </c>
      <c r="B86" s="77" t="s">
        <v>346</v>
      </c>
      <c r="C86" s="2"/>
      <c r="D86" s="90">
        <v>0.09</v>
      </c>
      <c r="E86" s="83">
        <f>D86*SUM(E49:E59)</f>
        <v>18180</v>
      </c>
      <c r="F86" s="2"/>
    </row>
    <row r="87" ht="15.0" customHeight="1">
      <c r="A87" s="77" t="s">
        <v>347</v>
      </c>
      <c r="B87" s="77" t="s">
        <v>348</v>
      </c>
      <c r="C87" s="2"/>
      <c r="D87" s="90">
        <v>0.25</v>
      </c>
      <c r="E87" s="83">
        <f>D87*SUM(E49:E59)</f>
        <v>50500</v>
      </c>
      <c r="F87" s="2"/>
    </row>
    <row r="88" ht="15.0" customHeight="1">
      <c r="A88" s="77" t="s">
        <v>349</v>
      </c>
      <c r="B88" s="77" t="s">
        <v>350</v>
      </c>
      <c r="C88" s="2"/>
      <c r="D88" s="90">
        <v>0.18</v>
      </c>
      <c r="E88" s="83">
        <f>D88*SUM(E45:E71)</f>
        <v>78030</v>
      </c>
      <c r="F88" s="2"/>
    </row>
    <row r="89" ht="15.75" customHeight="1">
      <c r="A89" s="2"/>
      <c r="B89" s="2"/>
      <c r="C89" s="2"/>
      <c r="D89" s="2"/>
      <c r="E89" s="2"/>
      <c r="F89" s="2"/>
    </row>
    <row r="90" ht="15.0" customHeight="1">
      <c r="A90" s="2"/>
      <c r="B90" s="79" t="s">
        <v>351</v>
      </c>
      <c r="C90" s="2"/>
      <c r="D90" s="2"/>
      <c r="E90" s="2"/>
      <c r="F90" s="80">
        <f>SUM(E44:E88)</f>
        <v>1008879</v>
      </c>
    </row>
    <row r="91" ht="15.75" customHeight="1">
      <c r="A91" s="2"/>
      <c r="B91" s="2"/>
      <c r="C91" s="2"/>
      <c r="D91" s="2"/>
      <c r="E91" s="2"/>
      <c r="F91" s="2"/>
    </row>
    <row r="92" ht="15.0" customHeight="1">
      <c r="A92" s="98" t="s">
        <v>352</v>
      </c>
      <c r="B92" s="25"/>
      <c r="C92" s="25"/>
      <c r="D92" s="25"/>
      <c r="E92" s="25"/>
      <c r="F92" s="6"/>
    </row>
    <row r="93" ht="15.0" customHeight="1">
      <c r="A93" s="2"/>
      <c r="B93" s="2"/>
      <c r="C93" s="99" t="s">
        <v>200</v>
      </c>
      <c r="D93" s="99" t="s">
        <v>201</v>
      </c>
      <c r="E93" s="99" t="s">
        <v>202</v>
      </c>
      <c r="F93" s="99" t="s">
        <v>203</v>
      </c>
    </row>
    <row r="94" ht="15.0" customHeight="1">
      <c r="A94" s="77" t="s">
        <v>353</v>
      </c>
      <c r="B94" s="77" t="s">
        <v>354</v>
      </c>
      <c r="C94" s="100">
        <v>0.0</v>
      </c>
      <c r="D94" s="96">
        <v>0.0</v>
      </c>
      <c r="E94" s="83">
        <f t="shared" ref="E94:E110" si="2">C94*D94</f>
        <v>0</v>
      </c>
      <c r="F94" s="2"/>
    </row>
    <row r="95" ht="15.0" customHeight="1">
      <c r="A95" s="77" t="s">
        <v>355</v>
      </c>
      <c r="B95" s="77" t="s">
        <v>356</v>
      </c>
      <c r="C95" s="100">
        <v>24.0</v>
      </c>
      <c r="D95" s="96">
        <v>1600.0</v>
      </c>
      <c r="E95" s="83">
        <f t="shared" si="2"/>
        <v>38400</v>
      </c>
      <c r="F95" s="2"/>
    </row>
    <row r="96" ht="15.0" customHeight="1">
      <c r="A96" s="77" t="s">
        <v>357</v>
      </c>
      <c r="B96" s="77" t="s">
        <v>358</v>
      </c>
      <c r="C96" s="100">
        <v>36.0</v>
      </c>
      <c r="D96" s="96">
        <v>1400.0</v>
      </c>
      <c r="E96" s="83">
        <f t="shared" si="2"/>
        <v>50400</v>
      </c>
      <c r="F96" s="2"/>
    </row>
    <row r="97" ht="15.0" customHeight="1">
      <c r="A97" s="77" t="s">
        <v>359</v>
      </c>
      <c r="B97" s="77" t="s">
        <v>360</v>
      </c>
      <c r="C97" s="100">
        <v>20.0</v>
      </c>
      <c r="D97" s="96">
        <v>1300.0</v>
      </c>
      <c r="E97" s="83">
        <f t="shared" si="2"/>
        <v>26000</v>
      </c>
      <c r="F97" s="2"/>
    </row>
    <row r="98" ht="15.0" customHeight="1">
      <c r="A98" s="77" t="s">
        <v>361</v>
      </c>
      <c r="B98" s="77" t="s">
        <v>362</v>
      </c>
      <c r="C98" s="100">
        <v>4.0</v>
      </c>
      <c r="D98" s="96">
        <v>234.0</v>
      </c>
      <c r="E98" s="83">
        <f t="shared" si="2"/>
        <v>936</v>
      </c>
      <c r="F98" s="2"/>
    </row>
    <row r="99" ht="15.0" customHeight="1">
      <c r="A99" s="77" t="s">
        <v>363</v>
      </c>
      <c r="B99" s="77" t="s">
        <v>364</v>
      </c>
      <c r="C99" s="100">
        <v>16.0</v>
      </c>
      <c r="D99" s="96">
        <v>1400.0</v>
      </c>
      <c r="E99" s="83">
        <f t="shared" si="2"/>
        <v>22400</v>
      </c>
      <c r="F99" s="2"/>
    </row>
    <row r="100" ht="15.0" customHeight="1">
      <c r="A100" s="77" t="s">
        <v>365</v>
      </c>
      <c r="B100" s="77" t="s">
        <v>366</v>
      </c>
      <c r="C100" s="100">
        <v>4.0</v>
      </c>
      <c r="D100" s="96">
        <v>1900.0</v>
      </c>
      <c r="E100" s="83">
        <f t="shared" si="2"/>
        <v>7600</v>
      </c>
      <c r="F100" s="2"/>
    </row>
    <row r="101" ht="15.0" customHeight="1">
      <c r="A101" s="77" t="s">
        <v>367</v>
      </c>
      <c r="B101" s="77" t="s">
        <v>368</v>
      </c>
      <c r="C101" s="100">
        <v>1.0</v>
      </c>
      <c r="D101" s="96">
        <v>1900.0</v>
      </c>
      <c r="E101" s="83">
        <f t="shared" si="2"/>
        <v>1900</v>
      </c>
      <c r="F101" s="2"/>
    </row>
    <row r="102" ht="15.0" customHeight="1">
      <c r="A102" s="77" t="s">
        <v>369</v>
      </c>
      <c r="B102" s="77" t="s">
        <v>370</v>
      </c>
      <c r="C102" s="100">
        <v>2.0</v>
      </c>
      <c r="D102" s="96">
        <v>630.0</v>
      </c>
      <c r="E102" s="83">
        <f t="shared" si="2"/>
        <v>1260</v>
      </c>
      <c r="F102" s="2"/>
    </row>
    <row r="103" ht="15.0" customHeight="1">
      <c r="A103" s="77" t="s">
        <v>371</v>
      </c>
      <c r="B103" s="77" t="s">
        <v>372</v>
      </c>
      <c r="C103" s="100">
        <v>8.0</v>
      </c>
      <c r="D103" s="96">
        <v>1750.0</v>
      </c>
      <c r="E103" s="83">
        <f t="shared" si="2"/>
        <v>14000</v>
      </c>
      <c r="F103" s="2"/>
    </row>
    <row r="104" ht="15.0" customHeight="1">
      <c r="A104" s="77" t="s">
        <v>373</v>
      </c>
      <c r="B104" s="77" t="s">
        <v>374</v>
      </c>
      <c r="C104" s="100">
        <v>4.0</v>
      </c>
      <c r="D104" s="96">
        <v>580.0</v>
      </c>
      <c r="E104" s="83">
        <f t="shared" si="2"/>
        <v>2320</v>
      </c>
      <c r="F104" s="2"/>
    </row>
    <row r="105" ht="15.0" customHeight="1">
      <c r="A105" s="77" t="s">
        <v>375</v>
      </c>
      <c r="B105" s="77" t="s">
        <v>376</v>
      </c>
      <c r="C105" s="100">
        <v>4.0</v>
      </c>
      <c r="D105" s="96">
        <v>1750.0</v>
      </c>
      <c r="E105" s="83">
        <f t="shared" si="2"/>
        <v>7000</v>
      </c>
      <c r="F105" s="2"/>
    </row>
    <row r="106" ht="15.0" customHeight="1">
      <c r="A106" s="77" t="s">
        <v>377</v>
      </c>
      <c r="B106" s="77" t="s">
        <v>378</v>
      </c>
      <c r="C106" s="100">
        <v>50.0</v>
      </c>
      <c r="D106" s="96">
        <v>260.0</v>
      </c>
      <c r="E106" s="83">
        <f t="shared" si="2"/>
        <v>13000</v>
      </c>
      <c r="F106" s="2"/>
    </row>
    <row r="107" ht="15.0" customHeight="1">
      <c r="A107" s="77" t="s">
        <v>379</v>
      </c>
      <c r="B107" s="77" t="s">
        <v>380</v>
      </c>
      <c r="C107" s="100">
        <v>8.0</v>
      </c>
      <c r="D107" s="96">
        <v>800.0</v>
      </c>
      <c r="E107" s="83">
        <f t="shared" si="2"/>
        <v>6400</v>
      </c>
      <c r="F107" s="2"/>
    </row>
    <row r="108" ht="15.0" customHeight="1">
      <c r="A108" s="77" t="s">
        <v>381</v>
      </c>
      <c r="B108" s="77" t="s">
        <v>382</v>
      </c>
      <c r="C108" s="100">
        <v>4.0</v>
      </c>
      <c r="D108" s="96">
        <v>1700.0</v>
      </c>
      <c r="E108" s="83">
        <f t="shared" si="2"/>
        <v>6800</v>
      </c>
      <c r="F108" s="2"/>
    </row>
    <row r="109" ht="15.0" customHeight="1">
      <c r="A109" s="77" t="s">
        <v>383</v>
      </c>
      <c r="B109" s="77" t="s">
        <v>384</v>
      </c>
      <c r="C109" s="100">
        <v>20.0</v>
      </c>
      <c r="D109" s="96">
        <v>1100.0</v>
      </c>
      <c r="E109" s="83">
        <f t="shared" si="2"/>
        <v>22000</v>
      </c>
      <c r="F109" s="2"/>
    </row>
    <row r="110" ht="15.0" customHeight="1">
      <c r="A110" s="77" t="s">
        <v>385</v>
      </c>
      <c r="B110" s="77" t="s">
        <v>386</v>
      </c>
      <c r="C110" s="100">
        <v>20.0</v>
      </c>
      <c r="D110" s="96">
        <v>95.0</v>
      </c>
      <c r="E110" s="83">
        <f t="shared" si="2"/>
        <v>1900</v>
      </c>
      <c r="F110" s="2"/>
    </row>
    <row r="111" ht="15.0" customHeight="1">
      <c r="A111" s="77" t="s">
        <v>387</v>
      </c>
      <c r="B111" s="77" t="s">
        <v>388</v>
      </c>
      <c r="C111" s="2"/>
      <c r="D111" s="2"/>
      <c r="E111" s="96">
        <v>3000.0</v>
      </c>
      <c r="F111" s="2"/>
    </row>
    <row r="112" ht="15.0" customHeight="1">
      <c r="A112" s="77" t="s">
        <v>389</v>
      </c>
      <c r="B112" s="77" t="s">
        <v>390</v>
      </c>
      <c r="C112" s="2"/>
      <c r="D112" s="2"/>
      <c r="E112" s="96">
        <v>4500.0</v>
      </c>
      <c r="F112" s="2"/>
    </row>
    <row r="113" ht="15.0" customHeight="1">
      <c r="A113" s="77" t="s">
        <v>391</v>
      </c>
      <c r="B113" s="77" t="s">
        <v>392</v>
      </c>
      <c r="C113" s="2"/>
      <c r="D113" s="2"/>
      <c r="E113" s="96">
        <v>4000.0</v>
      </c>
      <c r="F113" s="2"/>
    </row>
    <row r="114" ht="15.0" customHeight="1">
      <c r="A114" s="77" t="s">
        <v>393</v>
      </c>
      <c r="B114" s="77" t="s">
        <v>394</v>
      </c>
      <c r="C114" s="100">
        <v>60.0</v>
      </c>
      <c r="D114" s="96">
        <v>45.0</v>
      </c>
      <c r="E114" s="83">
        <f t="shared" ref="E114:E124" si="3">C114*D114</f>
        <v>2700</v>
      </c>
      <c r="F114" s="2"/>
    </row>
    <row r="115" ht="15.0" customHeight="1">
      <c r="A115" s="77" t="s">
        <v>395</v>
      </c>
      <c r="B115" s="77" t="s">
        <v>396</v>
      </c>
      <c r="C115" s="100">
        <v>120.0</v>
      </c>
      <c r="D115" s="96">
        <v>75.0</v>
      </c>
      <c r="E115" s="83">
        <f t="shared" si="3"/>
        <v>9000</v>
      </c>
      <c r="F115" s="2"/>
    </row>
    <row r="116" ht="15.0" customHeight="1">
      <c r="A116" s="77" t="s">
        <v>397</v>
      </c>
      <c r="B116" s="77" t="s">
        <v>398</v>
      </c>
      <c r="C116" s="100">
        <v>60.0</v>
      </c>
      <c r="D116" s="96">
        <v>85.0</v>
      </c>
      <c r="E116" s="83">
        <f t="shared" si="3"/>
        <v>5100</v>
      </c>
      <c r="F116" s="2"/>
    </row>
    <row r="117" ht="15.0" customHeight="1">
      <c r="A117" s="77" t="s">
        <v>399</v>
      </c>
      <c r="B117" s="77" t="s">
        <v>400</v>
      </c>
      <c r="C117" s="100">
        <v>4.0</v>
      </c>
      <c r="D117" s="96">
        <v>1400.0</v>
      </c>
      <c r="E117" s="83">
        <f t="shared" si="3"/>
        <v>5600</v>
      </c>
      <c r="F117" s="2"/>
    </row>
    <row r="118" ht="15.0" customHeight="1">
      <c r="A118" s="77" t="s">
        <v>401</v>
      </c>
      <c r="B118" s="77" t="s">
        <v>402</v>
      </c>
      <c r="C118" s="100">
        <v>4.0</v>
      </c>
      <c r="D118" s="96">
        <v>1000.0</v>
      </c>
      <c r="E118" s="83">
        <f t="shared" si="3"/>
        <v>4000</v>
      </c>
      <c r="F118" s="2"/>
    </row>
    <row r="119" ht="15.0" customHeight="1">
      <c r="A119" s="77" t="s">
        <v>403</v>
      </c>
      <c r="B119" s="77" t="s">
        <v>404</v>
      </c>
      <c r="C119" s="100">
        <v>4.0</v>
      </c>
      <c r="D119" s="96">
        <v>1100.0</v>
      </c>
      <c r="E119" s="83">
        <f t="shared" si="3"/>
        <v>4400</v>
      </c>
      <c r="F119" s="2"/>
    </row>
    <row r="120" ht="15.0" customHeight="1">
      <c r="A120" s="77" t="s">
        <v>405</v>
      </c>
      <c r="B120" s="77" t="s">
        <v>406</v>
      </c>
      <c r="C120" s="100">
        <v>8.0</v>
      </c>
      <c r="D120" s="96">
        <v>900.0</v>
      </c>
      <c r="E120" s="83">
        <f t="shared" si="3"/>
        <v>7200</v>
      </c>
      <c r="F120" s="2"/>
    </row>
    <row r="121" ht="15.0" customHeight="1">
      <c r="A121" s="77" t="s">
        <v>407</v>
      </c>
      <c r="B121" s="77" t="s">
        <v>408</v>
      </c>
      <c r="C121" s="100">
        <v>4.0</v>
      </c>
      <c r="D121" s="96">
        <v>1200.0</v>
      </c>
      <c r="E121" s="83">
        <f t="shared" si="3"/>
        <v>4800</v>
      </c>
      <c r="F121" s="2"/>
    </row>
    <row r="122" ht="15.0" customHeight="1">
      <c r="A122" s="77" t="s">
        <v>409</v>
      </c>
      <c r="B122" s="77" t="s">
        <v>410</v>
      </c>
      <c r="C122" s="100">
        <v>6.0</v>
      </c>
      <c r="D122" s="96">
        <v>2500.0</v>
      </c>
      <c r="E122" s="83">
        <f t="shared" si="3"/>
        <v>15000</v>
      </c>
      <c r="F122" s="2"/>
    </row>
    <row r="123" ht="15.0" customHeight="1">
      <c r="A123" s="77" t="s">
        <v>411</v>
      </c>
      <c r="B123" s="77" t="s">
        <v>412</v>
      </c>
      <c r="C123" s="100">
        <v>6.0</v>
      </c>
      <c r="D123" s="96">
        <v>1400.0</v>
      </c>
      <c r="E123" s="83">
        <f t="shared" si="3"/>
        <v>8400</v>
      </c>
      <c r="F123" s="2"/>
    </row>
    <row r="124" ht="15.0" customHeight="1">
      <c r="A124" s="77" t="s">
        <v>413</v>
      </c>
      <c r="B124" s="77" t="s">
        <v>414</v>
      </c>
      <c r="C124" s="100">
        <v>6.0</v>
      </c>
      <c r="D124" s="96">
        <v>900.0</v>
      </c>
      <c r="E124" s="83">
        <f t="shared" si="3"/>
        <v>5400</v>
      </c>
      <c r="F124" s="2"/>
    </row>
    <row r="125" ht="15.0" customHeight="1">
      <c r="A125" s="77" t="s">
        <v>415</v>
      </c>
      <c r="B125" s="77" t="s">
        <v>416</v>
      </c>
      <c r="C125" s="2"/>
      <c r="D125" s="2"/>
      <c r="E125" s="96">
        <v>5000.0</v>
      </c>
      <c r="F125" s="2"/>
    </row>
    <row r="126" ht="15.0" customHeight="1">
      <c r="A126" s="77" t="s">
        <v>417</v>
      </c>
      <c r="B126" s="77" t="s">
        <v>418</v>
      </c>
      <c r="C126" s="2"/>
      <c r="D126" s="2"/>
      <c r="E126" s="96">
        <v>3000.0</v>
      </c>
      <c r="F126" s="2"/>
    </row>
    <row r="127" ht="15.0" customHeight="1">
      <c r="A127" s="77" t="s">
        <v>419</v>
      </c>
      <c r="B127" s="77" t="s">
        <v>420</v>
      </c>
      <c r="C127" s="2"/>
      <c r="D127" s="2"/>
      <c r="E127" s="96">
        <v>5000.0</v>
      </c>
      <c r="F127" s="2"/>
    </row>
    <row r="128" ht="15.0" customHeight="1">
      <c r="A128" s="77" t="s">
        <v>421</v>
      </c>
      <c r="B128" s="77" t="s">
        <v>422</v>
      </c>
      <c r="C128" s="100">
        <v>15.0</v>
      </c>
      <c r="D128" s="96">
        <v>190.0</v>
      </c>
      <c r="E128" s="83">
        <f t="shared" ref="E128:E129" si="4">C128*D128</f>
        <v>2850</v>
      </c>
      <c r="F128" s="2"/>
    </row>
    <row r="129" ht="15.0" customHeight="1">
      <c r="A129" s="77" t="s">
        <v>423</v>
      </c>
      <c r="B129" s="77" t="s">
        <v>424</v>
      </c>
      <c r="C129" s="100">
        <v>32.0</v>
      </c>
      <c r="D129" s="96">
        <v>190.0</v>
      </c>
      <c r="E129" s="83">
        <f t="shared" si="4"/>
        <v>6080</v>
      </c>
      <c r="F129" s="2"/>
    </row>
    <row r="130" ht="15.0" customHeight="1">
      <c r="A130" s="77" t="s">
        <v>425</v>
      </c>
      <c r="B130" s="77" t="s">
        <v>426</v>
      </c>
      <c r="C130" s="2"/>
      <c r="D130" s="90">
        <v>0.08</v>
      </c>
      <c r="E130" s="83">
        <f>D130*(E95+E99+E100+E101+E102+E103+E104+E105)</f>
        <v>7590.4</v>
      </c>
      <c r="F130" s="2"/>
    </row>
    <row r="131" ht="15.0" customHeight="1">
      <c r="A131" s="77" t="s">
        <v>427</v>
      </c>
      <c r="B131" s="77" t="s">
        <v>428</v>
      </c>
      <c r="C131" s="2"/>
      <c r="D131" s="90">
        <v>0.015</v>
      </c>
      <c r="E131" s="83">
        <f>D131*(E95+E99+E100+E101+E102+E103+E104+E105)</f>
        <v>1423.2</v>
      </c>
      <c r="F131" s="2"/>
    </row>
    <row r="132" ht="15.0" customHeight="1">
      <c r="A132" s="77" t="s">
        <v>429</v>
      </c>
      <c r="B132" s="77" t="s">
        <v>430</v>
      </c>
      <c r="C132" s="2"/>
      <c r="D132" s="90">
        <v>0.15</v>
      </c>
      <c r="E132" s="83">
        <f>D132*(E109+E110)</f>
        <v>3585</v>
      </c>
      <c r="F132" s="2"/>
    </row>
    <row r="133" ht="15.0" customHeight="1">
      <c r="A133" s="77" t="s">
        <v>431</v>
      </c>
      <c r="B133" s="77" t="s">
        <v>432</v>
      </c>
      <c r="C133" s="2"/>
      <c r="D133" s="90">
        <v>0.18</v>
      </c>
      <c r="E133" s="83">
        <f>D133*SUM(E95:E124)</f>
        <v>54974.88</v>
      </c>
      <c r="F133" s="2"/>
    </row>
    <row r="134" ht="15.75" customHeight="1">
      <c r="A134" s="2"/>
      <c r="B134" s="2"/>
      <c r="C134" s="2"/>
      <c r="D134" s="2"/>
      <c r="E134" s="2"/>
      <c r="F134" s="2"/>
    </row>
    <row r="135" ht="15.0" customHeight="1">
      <c r="A135" s="2"/>
      <c r="B135" s="79" t="s">
        <v>433</v>
      </c>
      <c r="C135" s="2"/>
      <c r="D135" s="2"/>
      <c r="E135" s="2"/>
      <c r="F135" s="80">
        <f>SUM(E94:E133)</f>
        <v>394919.48</v>
      </c>
    </row>
    <row r="136" ht="15.75" customHeight="1">
      <c r="A136" s="2"/>
      <c r="B136" s="2"/>
      <c r="C136" s="2"/>
      <c r="D136" s="2"/>
      <c r="E136" s="2"/>
      <c r="F136" s="2"/>
    </row>
    <row r="137" ht="15.0" customHeight="1">
      <c r="A137" s="98" t="s">
        <v>114</v>
      </c>
      <c r="B137" s="25"/>
      <c r="C137" s="25"/>
      <c r="D137" s="25"/>
      <c r="E137" s="25"/>
      <c r="F137" s="6"/>
    </row>
    <row r="138" ht="15.0" customHeight="1">
      <c r="A138" s="2"/>
      <c r="B138" s="2"/>
      <c r="C138" s="99" t="s">
        <v>200</v>
      </c>
      <c r="D138" s="99" t="s">
        <v>201</v>
      </c>
      <c r="E138" s="99" t="s">
        <v>202</v>
      </c>
      <c r="F138" s="99" t="s">
        <v>203</v>
      </c>
    </row>
    <row r="139" ht="15.0" customHeight="1">
      <c r="A139" s="77" t="s">
        <v>434</v>
      </c>
      <c r="B139" s="77" t="s">
        <v>435</v>
      </c>
      <c r="C139" s="100">
        <v>40.0</v>
      </c>
      <c r="D139" s="96">
        <v>125.0</v>
      </c>
      <c r="E139" s="83">
        <f t="shared" ref="E139:E140" si="5">C139*D139</f>
        <v>5000</v>
      </c>
      <c r="F139" s="2"/>
    </row>
    <row r="140" ht="15.0" customHeight="1">
      <c r="A140" s="77" t="s">
        <v>436</v>
      </c>
      <c r="B140" s="77" t="s">
        <v>437</v>
      </c>
      <c r="C140" s="100">
        <v>2.0</v>
      </c>
      <c r="D140" s="96">
        <v>4500.0</v>
      </c>
      <c r="E140" s="83">
        <f t="shared" si="5"/>
        <v>9000</v>
      </c>
      <c r="F140" s="2"/>
    </row>
    <row r="141" ht="15.0" customHeight="1">
      <c r="A141" s="77" t="s">
        <v>438</v>
      </c>
      <c r="B141" s="77" t="s">
        <v>439</v>
      </c>
      <c r="C141" s="2"/>
      <c r="D141" s="2"/>
      <c r="E141" s="96">
        <v>3500.0</v>
      </c>
      <c r="F141" s="2"/>
    </row>
    <row r="142" ht="15.0" customHeight="1">
      <c r="A142" s="77" t="s">
        <v>440</v>
      </c>
      <c r="B142" s="77" t="s">
        <v>441</v>
      </c>
      <c r="C142" s="2"/>
      <c r="D142" s="2"/>
      <c r="E142" s="96">
        <v>1500.0</v>
      </c>
      <c r="F142" s="2"/>
    </row>
    <row r="143" ht="15.0" customHeight="1">
      <c r="A143" s="77" t="s">
        <v>442</v>
      </c>
      <c r="B143" s="77" t="s">
        <v>443</v>
      </c>
      <c r="C143" s="2"/>
      <c r="D143" s="2"/>
      <c r="E143" s="96">
        <v>12000.0</v>
      </c>
      <c r="F143" s="2"/>
    </row>
    <row r="144" ht="15.0" customHeight="1">
      <c r="A144" s="77" t="s">
        <v>444</v>
      </c>
      <c r="B144" s="77" t="s">
        <v>445</v>
      </c>
      <c r="C144" s="2"/>
      <c r="D144" s="2"/>
      <c r="E144" s="96">
        <v>4500.0</v>
      </c>
      <c r="F144" s="2"/>
    </row>
    <row r="145" ht="15.0" customHeight="1">
      <c r="A145" s="77" t="s">
        <v>446</v>
      </c>
      <c r="B145" s="77" t="s">
        <v>447</v>
      </c>
      <c r="C145" s="2"/>
      <c r="D145" s="2"/>
      <c r="E145" s="96">
        <v>3500.0</v>
      </c>
      <c r="F145" s="2"/>
    </row>
    <row r="146" ht="15.0" customHeight="1">
      <c r="A146" s="77" t="s">
        <v>448</v>
      </c>
      <c r="B146" s="77" t="s">
        <v>449</v>
      </c>
      <c r="C146" s="2"/>
      <c r="D146" s="2"/>
      <c r="E146" s="96">
        <v>6000.0</v>
      </c>
      <c r="F146" s="2"/>
    </row>
    <row r="147" ht="15.0" customHeight="1">
      <c r="A147" s="77" t="s">
        <v>450</v>
      </c>
      <c r="B147" s="77" t="s">
        <v>451</v>
      </c>
      <c r="C147" s="2"/>
      <c r="D147" s="2"/>
      <c r="E147" s="96">
        <v>3500.0</v>
      </c>
      <c r="F147" s="2"/>
    </row>
    <row r="148" ht="15.0" customHeight="1">
      <c r="A148" s="77" t="s">
        <v>452</v>
      </c>
      <c r="B148" s="77" t="s">
        <v>453</v>
      </c>
      <c r="C148" s="2"/>
      <c r="D148" s="2"/>
      <c r="E148" s="96">
        <v>5000.0</v>
      </c>
      <c r="F148" s="2"/>
    </row>
    <row r="149" ht="15.75" customHeight="1">
      <c r="A149" s="2"/>
      <c r="B149" s="2"/>
      <c r="C149" s="2"/>
      <c r="D149" s="2"/>
      <c r="E149" s="2"/>
      <c r="F149" s="2"/>
    </row>
    <row r="150" ht="15.0" customHeight="1">
      <c r="A150" s="2"/>
      <c r="B150" s="79" t="s">
        <v>454</v>
      </c>
      <c r="C150" s="2"/>
      <c r="D150" s="2"/>
      <c r="E150" s="2"/>
      <c r="F150" s="80">
        <f>SUM(E139:E148)</f>
        <v>53500</v>
      </c>
    </row>
    <row r="151" ht="15.75" customHeight="1">
      <c r="A151" s="2"/>
      <c r="B151" s="2"/>
      <c r="C151" s="2"/>
      <c r="D151" s="2"/>
      <c r="E151" s="2"/>
      <c r="F151" s="2"/>
    </row>
    <row r="152" ht="15.0" customHeight="1">
      <c r="A152" s="98" t="s">
        <v>115</v>
      </c>
      <c r="B152" s="25"/>
      <c r="C152" s="25"/>
      <c r="D152" s="25"/>
      <c r="E152" s="25"/>
      <c r="F152" s="6"/>
    </row>
    <row r="153" ht="15.0" customHeight="1">
      <c r="A153" s="2"/>
      <c r="B153" s="2"/>
      <c r="C153" s="99" t="s">
        <v>200</v>
      </c>
      <c r="D153" s="99" t="s">
        <v>201</v>
      </c>
      <c r="E153" s="99" t="s">
        <v>202</v>
      </c>
      <c r="F153" s="99" t="s">
        <v>203</v>
      </c>
    </row>
    <row r="154" ht="15.0" customHeight="1">
      <c r="A154" s="77" t="s">
        <v>455</v>
      </c>
      <c r="B154" s="77" t="s">
        <v>456</v>
      </c>
      <c r="C154" s="2"/>
      <c r="D154" s="2"/>
      <c r="E154" s="96">
        <v>0.0</v>
      </c>
      <c r="F154" s="2"/>
    </row>
    <row r="155" ht="15.0" customHeight="1">
      <c r="A155" s="77" t="s">
        <v>457</v>
      </c>
      <c r="B155" s="77" t="s">
        <v>458</v>
      </c>
      <c r="C155" s="2"/>
      <c r="D155" s="2"/>
      <c r="E155" s="96">
        <v>18000.0</v>
      </c>
      <c r="F155" s="2"/>
    </row>
    <row r="156" ht="15.0" customHeight="1">
      <c r="A156" s="77" t="s">
        <v>459</v>
      </c>
      <c r="B156" s="77" t="s">
        <v>460</v>
      </c>
      <c r="C156" s="2"/>
      <c r="D156" s="2"/>
      <c r="E156" s="96">
        <v>4000.0</v>
      </c>
      <c r="F156" s="2"/>
    </row>
    <row r="157" ht="15.0" customHeight="1">
      <c r="A157" s="77" t="s">
        <v>461</v>
      </c>
      <c r="B157" s="77" t="s">
        <v>462</v>
      </c>
      <c r="C157" s="2"/>
      <c r="D157" s="2"/>
      <c r="E157" s="96">
        <v>3500.0</v>
      </c>
      <c r="F157" s="2"/>
    </row>
    <row r="158" ht="15.0" customHeight="1">
      <c r="A158" s="77" t="s">
        <v>463</v>
      </c>
      <c r="B158" s="77" t="s">
        <v>464</v>
      </c>
      <c r="C158" s="2"/>
      <c r="D158" s="2"/>
      <c r="E158" s="96">
        <v>6500.0</v>
      </c>
      <c r="F158" s="2"/>
    </row>
    <row r="159" ht="15.0" customHeight="1">
      <c r="A159" s="77" t="s">
        <v>465</v>
      </c>
      <c r="B159" s="77" t="s">
        <v>466</v>
      </c>
      <c r="C159" s="2"/>
      <c r="D159" s="2"/>
      <c r="E159" s="96">
        <v>2500.0</v>
      </c>
      <c r="F159" s="2"/>
    </row>
    <row r="160" ht="15.0" customHeight="1">
      <c r="A160" s="77" t="s">
        <v>467</v>
      </c>
      <c r="B160" s="77" t="s">
        <v>468</v>
      </c>
      <c r="C160" s="2"/>
      <c r="D160" s="2"/>
      <c r="E160" s="96">
        <v>4000.0</v>
      </c>
      <c r="F160" s="2"/>
    </row>
    <row r="161" ht="15.0" customHeight="1">
      <c r="A161" s="77" t="s">
        <v>469</v>
      </c>
      <c r="B161" s="77" t="s">
        <v>470</v>
      </c>
      <c r="C161" s="100">
        <v>4.0</v>
      </c>
      <c r="D161" s="96">
        <v>600.0</v>
      </c>
      <c r="E161" s="83">
        <f>C161*D161</f>
        <v>2400</v>
      </c>
      <c r="F161" s="2"/>
    </row>
    <row r="162" ht="15.0" customHeight="1">
      <c r="A162" s="77" t="s">
        <v>471</v>
      </c>
      <c r="B162" s="77" t="s">
        <v>472</v>
      </c>
      <c r="C162" s="2"/>
      <c r="D162" s="2"/>
      <c r="E162" s="96">
        <v>6500.0</v>
      </c>
      <c r="F162" s="2"/>
    </row>
    <row r="163" ht="15.0" customHeight="1">
      <c r="A163" s="77" t="s">
        <v>473</v>
      </c>
      <c r="B163" s="77" t="s">
        <v>474</v>
      </c>
      <c r="C163" s="2"/>
      <c r="D163" s="2"/>
      <c r="E163" s="96">
        <v>1500.0</v>
      </c>
      <c r="F163" s="2"/>
    </row>
    <row r="164" ht="15.0" customHeight="1">
      <c r="A164" s="77" t="s">
        <v>475</v>
      </c>
      <c r="B164" s="77" t="s">
        <v>476</v>
      </c>
      <c r="C164" s="2"/>
      <c r="D164" s="2"/>
      <c r="E164" s="96">
        <v>2500.0</v>
      </c>
      <c r="F164" s="2"/>
    </row>
    <row r="165" ht="15.75" customHeight="1">
      <c r="A165" s="2"/>
      <c r="B165" s="2"/>
      <c r="C165" s="2"/>
      <c r="D165" s="2"/>
      <c r="E165" s="2"/>
      <c r="F165" s="2"/>
    </row>
    <row r="166" ht="15.0" customHeight="1">
      <c r="A166" s="2"/>
      <c r="B166" s="79" t="s">
        <v>477</v>
      </c>
      <c r="C166" s="2"/>
      <c r="D166" s="2"/>
      <c r="E166" s="2"/>
      <c r="F166" s="80">
        <f>SUM(E154:E164)</f>
        <v>51400</v>
      </c>
    </row>
    <row r="167" ht="15.75" customHeight="1">
      <c r="A167" s="2"/>
      <c r="B167" s="2"/>
      <c r="C167" s="2"/>
      <c r="D167" s="2"/>
      <c r="E167" s="2"/>
      <c r="F167" s="2"/>
    </row>
    <row r="168" ht="15.0" customHeight="1">
      <c r="A168" s="98" t="s">
        <v>478</v>
      </c>
      <c r="B168" s="25"/>
      <c r="C168" s="25"/>
      <c r="D168" s="25"/>
      <c r="E168" s="25"/>
      <c r="F168" s="6"/>
    </row>
    <row r="169" ht="15.0" customHeight="1">
      <c r="A169" s="2"/>
      <c r="B169" s="2"/>
      <c r="C169" s="99" t="s">
        <v>200</v>
      </c>
      <c r="D169" s="99" t="s">
        <v>201</v>
      </c>
      <c r="E169" s="99" t="s">
        <v>202</v>
      </c>
      <c r="F169" s="99" t="s">
        <v>203</v>
      </c>
    </row>
    <row r="170" ht="15.0" customHeight="1">
      <c r="A170" s="77" t="s">
        <v>479</v>
      </c>
      <c r="B170" s="77" t="s">
        <v>480</v>
      </c>
      <c r="C170" s="2"/>
      <c r="D170" s="2"/>
      <c r="E170" s="96">
        <v>52500.0</v>
      </c>
      <c r="F170" s="2"/>
    </row>
    <row r="171" ht="15.0" customHeight="1">
      <c r="A171" s="77" t="s">
        <v>481</v>
      </c>
      <c r="B171" s="77" t="s">
        <v>482</v>
      </c>
      <c r="C171" s="2"/>
      <c r="D171" s="2"/>
      <c r="E171" s="96">
        <v>33000.0</v>
      </c>
      <c r="F171" s="2"/>
    </row>
    <row r="172" ht="15.0" customHeight="1">
      <c r="A172" s="77" t="s">
        <v>483</v>
      </c>
      <c r="B172" s="77" t="s">
        <v>484</v>
      </c>
      <c r="C172" s="2"/>
      <c r="D172" s="2"/>
      <c r="E172" s="96">
        <v>67500.0</v>
      </c>
      <c r="F172" s="2"/>
    </row>
    <row r="173" ht="15.0" customHeight="1">
      <c r="A173" s="77" t="s">
        <v>485</v>
      </c>
      <c r="B173" s="77" t="s">
        <v>486</v>
      </c>
      <c r="C173" s="101" t="s">
        <v>487</v>
      </c>
      <c r="D173" s="101">
        <v>8000.0</v>
      </c>
      <c r="E173" s="102">
        <v>48000.0</v>
      </c>
      <c r="F173" s="2"/>
    </row>
    <row r="174" ht="15.0" customHeight="1">
      <c r="A174" s="77" t="s">
        <v>488</v>
      </c>
      <c r="B174" s="77" t="s">
        <v>489</v>
      </c>
      <c r="C174" s="2"/>
      <c r="D174" s="2"/>
      <c r="E174" s="96">
        <v>27000.0</v>
      </c>
      <c r="F174" s="2"/>
    </row>
    <row r="175" ht="15.0" customHeight="1">
      <c r="A175" s="77" t="s">
        <v>490</v>
      </c>
      <c r="B175" s="77" t="s">
        <v>491</v>
      </c>
      <c r="C175" s="2"/>
      <c r="D175" s="2"/>
      <c r="E175" s="96">
        <v>18000.0</v>
      </c>
      <c r="F175" s="2"/>
    </row>
    <row r="176" ht="15.0" customHeight="1">
      <c r="A176" s="77" t="s">
        <v>492</v>
      </c>
      <c r="B176" s="77" t="s">
        <v>493</v>
      </c>
      <c r="C176" s="2"/>
      <c r="D176" s="2"/>
      <c r="E176" s="96">
        <v>37500.0</v>
      </c>
      <c r="F176" s="2"/>
    </row>
    <row r="177" ht="15.0" customHeight="1">
      <c r="A177" s="77" t="s">
        <v>494</v>
      </c>
      <c r="B177" s="77" t="s">
        <v>495</v>
      </c>
      <c r="C177" s="2"/>
      <c r="D177" s="2"/>
      <c r="E177" s="96">
        <v>18000.0</v>
      </c>
      <c r="F177" s="2"/>
    </row>
    <row r="178" ht="15.0" customHeight="1">
      <c r="A178" s="77" t="s">
        <v>496</v>
      </c>
      <c r="B178" s="77" t="s">
        <v>497</v>
      </c>
      <c r="C178" s="2"/>
      <c r="D178" s="2"/>
      <c r="E178" s="96">
        <v>30000.0</v>
      </c>
      <c r="F178" s="2"/>
    </row>
    <row r="179" ht="15.0" customHeight="1">
      <c r="A179" s="77" t="s">
        <v>498</v>
      </c>
      <c r="B179" s="77" t="s">
        <v>499</v>
      </c>
      <c r="C179" s="2"/>
      <c r="D179" s="2"/>
      <c r="E179" s="96">
        <v>22500.0</v>
      </c>
      <c r="F179" s="2"/>
    </row>
    <row r="180" ht="15.0" customHeight="1">
      <c r="A180" s="77" t="s">
        <v>500</v>
      </c>
      <c r="B180" s="77" t="s">
        <v>501</v>
      </c>
      <c r="C180" s="2"/>
      <c r="D180" s="2"/>
      <c r="E180" s="96">
        <v>27000.0</v>
      </c>
      <c r="F180" s="2"/>
    </row>
    <row r="181" ht="15.0" customHeight="1">
      <c r="A181" s="77" t="s">
        <v>502</v>
      </c>
      <c r="B181" s="77" t="s">
        <v>503</v>
      </c>
      <c r="C181" s="2"/>
      <c r="D181" s="2"/>
      <c r="E181" s="96">
        <v>30000.0</v>
      </c>
      <c r="F181" s="2"/>
    </row>
    <row r="182" ht="15.0" customHeight="1">
      <c r="A182" s="77" t="s">
        <v>504</v>
      </c>
      <c r="B182" s="77" t="s">
        <v>505</v>
      </c>
      <c r="C182" s="2"/>
      <c r="D182" s="2"/>
      <c r="E182" s="96">
        <v>67500.0</v>
      </c>
      <c r="F182" s="2"/>
    </row>
    <row r="183" ht="15.0" customHeight="1">
      <c r="A183" s="77" t="s">
        <v>506</v>
      </c>
      <c r="B183" s="77" t="s">
        <v>507</v>
      </c>
      <c r="C183" s="2"/>
      <c r="D183" s="2"/>
      <c r="E183" s="96">
        <v>37500.0</v>
      </c>
      <c r="F183" s="2"/>
    </row>
    <row r="184" ht="15.0" customHeight="1">
      <c r="A184" s="77" t="s">
        <v>508</v>
      </c>
      <c r="B184" s="77" t="s">
        <v>509</v>
      </c>
      <c r="C184" s="2"/>
      <c r="D184" s="2"/>
      <c r="E184" s="96">
        <v>12000.0</v>
      </c>
      <c r="F184" s="2"/>
    </row>
    <row r="185" ht="15.0" customHeight="1">
      <c r="A185" s="77" t="s">
        <v>510</v>
      </c>
      <c r="B185" s="77" t="s">
        <v>511</v>
      </c>
      <c r="C185" s="2"/>
      <c r="D185" s="2"/>
      <c r="E185" s="96">
        <v>247500.0</v>
      </c>
      <c r="F185" s="2"/>
    </row>
    <row r="186" ht="15.75" customHeight="1">
      <c r="A186" s="2"/>
      <c r="B186" s="2"/>
      <c r="C186" s="2"/>
      <c r="D186" s="2"/>
      <c r="E186" s="2"/>
      <c r="F186" s="2"/>
    </row>
    <row r="187" ht="15.0" customHeight="1">
      <c r="A187" s="2"/>
      <c r="B187" s="79" t="s">
        <v>512</v>
      </c>
      <c r="C187" s="2"/>
      <c r="D187" s="2"/>
      <c r="E187" s="2"/>
      <c r="F187" s="80">
        <f>SUM(E170:E185)</f>
        <v>775500</v>
      </c>
    </row>
    <row r="188" ht="15.75" customHeight="1">
      <c r="A188" s="2"/>
      <c r="B188" s="2"/>
      <c r="C188" s="2"/>
      <c r="D188" s="2"/>
      <c r="E188" s="2"/>
      <c r="F188" s="2"/>
    </row>
    <row r="189" ht="15.0" customHeight="1">
      <c r="A189" s="98" t="s">
        <v>513</v>
      </c>
      <c r="B189" s="25"/>
      <c r="C189" s="25"/>
      <c r="D189" s="25"/>
      <c r="E189" s="25"/>
      <c r="F189" s="6"/>
    </row>
    <row r="190" ht="15.0" customHeight="1">
      <c r="A190" s="2"/>
      <c r="B190" s="2"/>
      <c r="C190" s="99" t="s">
        <v>200</v>
      </c>
      <c r="D190" s="99" t="s">
        <v>201</v>
      </c>
      <c r="E190" s="99" t="s">
        <v>202</v>
      </c>
      <c r="F190" s="99" t="s">
        <v>203</v>
      </c>
    </row>
    <row r="191" ht="15.0" customHeight="1">
      <c r="A191" s="77" t="s">
        <v>514</v>
      </c>
      <c r="B191" s="77" t="s">
        <v>515</v>
      </c>
      <c r="C191" s="100">
        <v>2.0</v>
      </c>
      <c r="D191" s="96">
        <v>20000.0</v>
      </c>
      <c r="E191" s="83">
        <f t="shared" ref="E191:E192" si="6">C191*D191</f>
        <v>40000</v>
      </c>
      <c r="F191" s="2"/>
    </row>
    <row r="192" ht="15.0" customHeight="1">
      <c r="A192" s="77" t="s">
        <v>516</v>
      </c>
      <c r="B192" s="77" t="s">
        <v>517</v>
      </c>
      <c r="C192" s="100">
        <v>2.0</v>
      </c>
      <c r="D192" s="96">
        <v>6500.0</v>
      </c>
      <c r="E192" s="83">
        <f t="shared" si="6"/>
        <v>13000</v>
      </c>
      <c r="F192" s="2"/>
    </row>
    <row r="193" ht="15.0" customHeight="1">
      <c r="A193" s="77" t="s">
        <v>518</v>
      </c>
      <c r="B193" s="77" t="s">
        <v>519</v>
      </c>
      <c r="C193" s="2"/>
      <c r="D193" s="2"/>
      <c r="E193" s="96">
        <v>18000.0</v>
      </c>
      <c r="F193" s="2"/>
    </row>
    <row r="194" ht="15.0" customHeight="1">
      <c r="A194" s="77" t="s">
        <v>520</v>
      </c>
      <c r="B194" s="77" t="s">
        <v>521</v>
      </c>
      <c r="C194" s="100">
        <v>160.0</v>
      </c>
      <c r="D194" s="96">
        <v>42.0</v>
      </c>
      <c r="E194" s="83">
        <f t="shared" ref="E194:E207" si="7">C194*D194</f>
        <v>6720</v>
      </c>
      <c r="F194" s="2"/>
    </row>
    <row r="195" ht="15.0" customHeight="1">
      <c r="A195" s="77" t="s">
        <v>522</v>
      </c>
      <c r="B195" s="77" t="s">
        <v>523</v>
      </c>
      <c r="C195" s="100">
        <v>120.0</v>
      </c>
      <c r="D195" s="96">
        <v>42.0</v>
      </c>
      <c r="E195" s="83">
        <f t="shared" si="7"/>
        <v>5040</v>
      </c>
      <c r="F195" s="2"/>
    </row>
    <row r="196" ht="15.0" customHeight="1">
      <c r="A196" s="77" t="s">
        <v>524</v>
      </c>
      <c r="B196" s="77" t="s">
        <v>525</v>
      </c>
      <c r="C196" s="100">
        <v>80.0</v>
      </c>
      <c r="D196" s="96">
        <v>42.0</v>
      </c>
      <c r="E196" s="83">
        <f t="shared" si="7"/>
        <v>3360</v>
      </c>
      <c r="F196" s="2"/>
    </row>
    <row r="197" ht="15.0" customHeight="1">
      <c r="A197" s="77" t="s">
        <v>526</v>
      </c>
      <c r="B197" s="77" t="s">
        <v>527</v>
      </c>
      <c r="C197" s="100">
        <v>480.0</v>
      </c>
      <c r="D197" s="96">
        <v>42.0</v>
      </c>
      <c r="E197" s="83">
        <f t="shared" si="7"/>
        <v>20160</v>
      </c>
      <c r="F197" s="2"/>
    </row>
    <row r="198" ht="15.0" customHeight="1">
      <c r="A198" s="77" t="s">
        <v>528</v>
      </c>
      <c r="B198" s="77" t="s">
        <v>529</v>
      </c>
      <c r="C198" s="100">
        <v>320.0</v>
      </c>
      <c r="D198" s="96">
        <v>48.0</v>
      </c>
      <c r="E198" s="83">
        <f t="shared" si="7"/>
        <v>15360</v>
      </c>
      <c r="F198" s="2"/>
    </row>
    <row r="199" ht="15.0" customHeight="1">
      <c r="A199" s="77" t="s">
        <v>530</v>
      </c>
      <c r="B199" s="77" t="s">
        <v>531</v>
      </c>
      <c r="C199" s="100">
        <v>140.0</v>
      </c>
      <c r="D199" s="96">
        <v>48.0</v>
      </c>
      <c r="E199" s="83">
        <f t="shared" si="7"/>
        <v>6720</v>
      </c>
      <c r="F199" s="2"/>
    </row>
    <row r="200" ht="15.0" customHeight="1">
      <c r="A200" s="77" t="s">
        <v>532</v>
      </c>
      <c r="B200" s="77" t="s">
        <v>533</v>
      </c>
      <c r="C200" s="100">
        <v>120.0</v>
      </c>
      <c r="D200" s="96">
        <v>85.0</v>
      </c>
      <c r="E200" s="83">
        <f t="shared" si="7"/>
        <v>10200</v>
      </c>
      <c r="F200" s="2"/>
    </row>
    <row r="201" ht="15.0" customHeight="1">
      <c r="A201" s="77" t="s">
        <v>534</v>
      </c>
      <c r="B201" s="77" t="s">
        <v>535</v>
      </c>
      <c r="C201" s="100">
        <v>80.0</v>
      </c>
      <c r="D201" s="96">
        <v>42.0</v>
      </c>
      <c r="E201" s="83">
        <f t="shared" si="7"/>
        <v>3360</v>
      </c>
      <c r="F201" s="2"/>
    </row>
    <row r="202" ht="15.0" customHeight="1">
      <c r="A202" s="77" t="s">
        <v>536</v>
      </c>
      <c r="B202" s="77" t="s">
        <v>537</v>
      </c>
      <c r="C202" s="100">
        <v>60.0</v>
      </c>
      <c r="D202" s="96">
        <v>38.0</v>
      </c>
      <c r="E202" s="83">
        <f t="shared" si="7"/>
        <v>2280</v>
      </c>
      <c r="F202" s="2"/>
    </row>
    <row r="203" ht="15.0" customHeight="1">
      <c r="A203" s="77" t="s">
        <v>538</v>
      </c>
      <c r="B203" s="77" t="s">
        <v>539</v>
      </c>
      <c r="C203" s="100">
        <v>100.0</v>
      </c>
      <c r="D203" s="96">
        <v>48.0</v>
      </c>
      <c r="E203" s="83">
        <f t="shared" si="7"/>
        <v>4800</v>
      </c>
      <c r="F203" s="2"/>
    </row>
    <row r="204" ht="15.0" customHeight="1">
      <c r="A204" s="77" t="s">
        <v>540</v>
      </c>
      <c r="B204" s="77" t="s">
        <v>541</v>
      </c>
      <c r="C204" s="100">
        <v>60.0</v>
      </c>
      <c r="D204" s="96">
        <v>48.0</v>
      </c>
      <c r="E204" s="83">
        <f t="shared" si="7"/>
        <v>2880</v>
      </c>
      <c r="F204" s="2"/>
    </row>
    <row r="205" ht="15.0" customHeight="1">
      <c r="A205" s="77" t="s">
        <v>542</v>
      </c>
      <c r="B205" s="77" t="s">
        <v>543</v>
      </c>
      <c r="C205" s="100">
        <v>240.0</v>
      </c>
      <c r="D205" s="96">
        <v>42.0</v>
      </c>
      <c r="E205" s="83">
        <f t="shared" si="7"/>
        <v>10080</v>
      </c>
      <c r="F205" s="2"/>
    </row>
    <row r="206" ht="15.0" customHeight="1">
      <c r="A206" s="77" t="s">
        <v>544</v>
      </c>
      <c r="B206" s="77" t="s">
        <v>545</v>
      </c>
      <c r="C206" s="100">
        <v>120.0</v>
      </c>
      <c r="D206" s="96">
        <v>48.0</v>
      </c>
      <c r="E206" s="83">
        <f t="shared" si="7"/>
        <v>5760</v>
      </c>
      <c r="F206" s="2"/>
    </row>
    <row r="207" ht="15.0" customHeight="1">
      <c r="A207" s="77" t="s">
        <v>546</v>
      </c>
      <c r="B207" s="77" t="s">
        <v>547</v>
      </c>
      <c r="C207" s="100">
        <v>100.0</v>
      </c>
      <c r="D207" s="96">
        <v>48.0</v>
      </c>
      <c r="E207" s="83">
        <f t="shared" si="7"/>
        <v>4800</v>
      </c>
      <c r="F207" s="2"/>
    </row>
    <row r="208" ht="15.0" customHeight="1">
      <c r="A208" s="77" t="s">
        <v>548</v>
      </c>
      <c r="B208" s="77" t="s">
        <v>549</v>
      </c>
      <c r="C208" s="2"/>
      <c r="D208" s="90">
        <v>0.18</v>
      </c>
      <c r="E208" s="83">
        <f>D208*SUM(E194:E207)</f>
        <v>18273.6</v>
      </c>
      <c r="F208" s="2"/>
    </row>
    <row r="209" ht="15.75" customHeight="1">
      <c r="A209" s="2"/>
      <c r="B209" s="2"/>
      <c r="C209" s="2"/>
      <c r="D209" s="2"/>
      <c r="E209" s="2"/>
      <c r="F209" s="2"/>
    </row>
    <row r="210" ht="15.0" customHeight="1">
      <c r="A210" s="2"/>
      <c r="B210" s="79" t="s">
        <v>550</v>
      </c>
      <c r="C210" s="2"/>
      <c r="D210" s="2"/>
      <c r="E210" s="2"/>
      <c r="F210" s="80">
        <f>SUM(E191:E208)</f>
        <v>190793.6</v>
      </c>
    </row>
    <row r="211" ht="15.75" customHeight="1">
      <c r="A211" s="2"/>
      <c r="B211" s="2"/>
      <c r="C211" s="2"/>
      <c r="D211" s="2"/>
      <c r="E211" s="2"/>
      <c r="F211" s="2"/>
    </row>
    <row r="212" ht="15.0" customHeight="1">
      <c r="A212" s="98" t="s">
        <v>118</v>
      </c>
      <c r="B212" s="25"/>
      <c r="C212" s="25"/>
      <c r="D212" s="25"/>
      <c r="E212" s="25"/>
      <c r="F212" s="6"/>
    </row>
    <row r="213" ht="15.0" customHeight="1">
      <c r="A213" s="2"/>
      <c r="B213" s="2"/>
      <c r="C213" s="99" t="s">
        <v>200</v>
      </c>
      <c r="D213" s="99" t="s">
        <v>201</v>
      </c>
      <c r="E213" s="99" t="s">
        <v>202</v>
      </c>
      <c r="F213" s="99" t="s">
        <v>203</v>
      </c>
    </row>
    <row r="214" ht="15.0" customHeight="1">
      <c r="A214" s="77" t="s">
        <v>551</v>
      </c>
      <c r="B214" s="77" t="s">
        <v>552</v>
      </c>
      <c r="C214" s="100">
        <v>6.0</v>
      </c>
      <c r="D214" s="96">
        <v>600.0</v>
      </c>
      <c r="E214" s="83">
        <f t="shared" ref="E214:E215" si="8">C214*D214</f>
        <v>3600</v>
      </c>
      <c r="F214" s="2"/>
    </row>
    <row r="215" ht="15.0" customHeight="1">
      <c r="A215" s="77" t="s">
        <v>553</v>
      </c>
      <c r="B215" s="77" t="s">
        <v>554</v>
      </c>
      <c r="C215" s="100">
        <v>6.0</v>
      </c>
      <c r="D215" s="96">
        <v>600.0</v>
      </c>
      <c r="E215" s="83">
        <f t="shared" si="8"/>
        <v>3600</v>
      </c>
      <c r="F215" s="2"/>
    </row>
    <row r="216" ht="15.0" customHeight="1">
      <c r="A216" s="77" t="s">
        <v>555</v>
      </c>
      <c r="B216" s="77" t="s">
        <v>556</v>
      </c>
      <c r="C216" s="2"/>
      <c r="D216" s="2"/>
      <c r="E216" s="96">
        <v>18000.0</v>
      </c>
      <c r="F216" s="2"/>
    </row>
    <row r="217" ht="15.0" customHeight="1">
      <c r="A217" s="77" t="s">
        <v>557</v>
      </c>
      <c r="B217" s="77" t="s">
        <v>558</v>
      </c>
      <c r="C217" s="2"/>
      <c r="D217" s="2"/>
      <c r="E217" s="96">
        <v>45000.0</v>
      </c>
      <c r="F217" s="2"/>
    </row>
    <row r="218" ht="15.0" customHeight="1">
      <c r="A218" s="77" t="s">
        <v>559</v>
      </c>
      <c r="B218" s="77" t="s">
        <v>560</v>
      </c>
      <c r="C218" s="2"/>
      <c r="D218" s="2"/>
      <c r="E218" s="96">
        <v>65000.0</v>
      </c>
      <c r="F218" s="2"/>
    </row>
    <row r="219" ht="15.0" customHeight="1">
      <c r="A219" s="77" t="s">
        <v>561</v>
      </c>
      <c r="B219" s="77" t="s">
        <v>562</v>
      </c>
      <c r="C219" s="2"/>
      <c r="D219" s="2"/>
      <c r="E219" s="96">
        <v>4000.0</v>
      </c>
      <c r="F219" s="2"/>
    </row>
    <row r="220" ht="15.0" customHeight="1">
      <c r="A220" s="77" t="s">
        <v>563</v>
      </c>
      <c r="B220" s="77" t="s">
        <v>564</v>
      </c>
      <c r="C220" s="2"/>
      <c r="D220" s="2"/>
      <c r="E220" s="96">
        <v>4500.0</v>
      </c>
      <c r="F220" s="2"/>
    </row>
    <row r="221" ht="15.0" customHeight="1">
      <c r="A221" s="77" t="s">
        <v>565</v>
      </c>
      <c r="B221" s="77" t="s">
        <v>566</v>
      </c>
      <c r="C221" s="2"/>
      <c r="D221" s="2"/>
      <c r="E221" s="96">
        <v>18000.0</v>
      </c>
      <c r="F221" s="2"/>
    </row>
    <row r="222" ht="15.0" customHeight="1">
      <c r="A222" s="77" t="s">
        <v>567</v>
      </c>
      <c r="B222" s="77" t="s">
        <v>568</v>
      </c>
      <c r="C222" s="2"/>
      <c r="D222" s="2"/>
      <c r="E222" s="96">
        <v>8000.0</v>
      </c>
      <c r="F222" s="2"/>
    </row>
    <row r="223" ht="15.0" customHeight="1">
      <c r="A223" s="77" t="s">
        <v>569</v>
      </c>
      <c r="B223" s="77" t="s">
        <v>570</v>
      </c>
      <c r="C223" s="2"/>
      <c r="D223" s="2"/>
      <c r="E223" s="96">
        <v>5000.0</v>
      </c>
      <c r="F223" s="2"/>
    </row>
    <row r="224" ht="15.75" customHeight="1">
      <c r="A224" s="2"/>
      <c r="B224" s="2"/>
      <c r="C224" s="2"/>
      <c r="D224" s="2"/>
      <c r="E224" s="2"/>
      <c r="F224" s="2"/>
    </row>
    <row r="225" ht="15.0" customHeight="1">
      <c r="A225" s="2"/>
      <c r="B225" s="79" t="s">
        <v>571</v>
      </c>
      <c r="C225" s="2"/>
      <c r="D225" s="2"/>
      <c r="E225" s="2"/>
      <c r="F225" s="80">
        <f>SUM(E214:E223)</f>
        <v>174700</v>
      </c>
    </row>
    <row r="226" ht="15.75" customHeight="1">
      <c r="A226" s="2"/>
      <c r="B226" s="2"/>
      <c r="C226" s="2"/>
      <c r="D226" s="2"/>
      <c r="E226" s="2"/>
      <c r="F226" s="2"/>
    </row>
    <row r="227" ht="15.0" customHeight="1">
      <c r="A227" s="98" t="s">
        <v>119</v>
      </c>
      <c r="B227" s="25"/>
      <c r="C227" s="25"/>
      <c r="D227" s="25"/>
      <c r="E227" s="25"/>
      <c r="F227" s="6"/>
    </row>
    <row r="228" ht="15.0" customHeight="1">
      <c r="A228" s="2"/>
      <c r="B228" s="2"/>
      <c r="C228" s="99" t="s">
        <v>200</v>
      </c>
      <c r="D228" s="99" t="s">
        <v>201</v>
      </c>
      <c r="E228" s="99" t="s">
        <v>202</v>
      </c>
      <c r="F228" s="99" t="s">
        <v>203</v>
      </c>
    </row>
    <row r="229" ht="15.0" customHeight="1">
      <c r="A229" s="77" t="s">
        <v>572</v>
      </c>
      <c r="B229" s="77" t="s">
        <v>573</v>
      </c>
      <c r="C229" s="2"/>
      <c r="D229" s="2"/>
      <c r="E229" s="96">
        <v>35000.0</v>
      </c>
      <c r="F229" s="2"/>
    </row>
    <row r="230" ht="15.0" customHeight="1">
      <c r="A230" s="77" t="s">
        <v>574</v>
      </c>
      <c r="B230" s="77" t="s">
        <v>575</v>
      </c>
      <c r="C230" s="2"/>
      <c r="D230" s="2"/>
      <c r="E230" s="96">
        <v>25000.0</v>
      </c>
      <c r="F230" s="2"/>
    </row>
    <row r="231" ht="15.0" customHeight="1">
      <c r="A231" s="77" t="s">
        <v>576</v>
      </c>
      <c r="B231" s="77" t="s">
        <v>577</v>
      </c>
      <c r="C231" s="2"/>
      <c r="D231" s="2"/>
      <c r="E231" s="96">
        <v>15000.0</v>
      </c>
      <c r="F231" s="2"/>
    </row>
    <row r="232" ht="15.75" customHeight="1">
      <c r="A232" s="2"/>
      <c r="B232" s="2"/>
      <c r="C232" s="2"/>
      <c r="D232" s="2"/>
      <c r="E232" s="2"/>
      <c r="F232" s="2"/>
    </row>
    <row r="233" ht="15.0" customHeight="1">
      <c r="A233" s="2"/>
      <c r="B233" s="79" t="s">
        <v>578</v>
      </c>
      <c r="C233" s="2"/>
      <c r="D233" s="2"/>
      <c r="E233" s="2"/>
      <c r="F233" s="80">
        <f>SUM(E229:E231)</f>
        <v>75000</v>
      </c>
    </row>
    <row r="234" ht="15.75" customHeight="1">
      <c r="A234" s="2"/>
      <c r="B234" s="2"/>
      <c r="C234" s="2"/>
      <c r="D234" s="2"/>
      <c r="E234" s="2"/>
      <c r="F234" s="2"/>
    </row>
    <row r="235" ht="15.0" customHeight="1">
      <c r="A235" s="2"/>
      <c r="B235" s="81" t="s">
        <v>120</v>
      </c>
      <c r="C235" s="2"/>
      <c r="D235" s="2"/>
      <c r="E235" s="2"/>
      <c r="F235" s="82">
        <f>F40+F90+F135+F150+F166+F187+F210+F225+F233</f>
        <v>5038942.08</v>
      </c>
    </row>
    <row r="236" ht="15.75" customHeight="1">
      <c r="A236" s="2"/>
      <c r="B236" s="2"/>
      <c r="C236" s="2"/>
      <c r="D236" s="2"/>
      <c r="E236" s="2"/>
      <c r="F236" s="2"/>
    </row>
    <row r="237" ht="15.0" customHeight="1">
      <c r="A237" s="98" t="s">
        <v>121</v>
      </c>
      <c r="B237" s="25"/>
      <c r="C237" s="25"/>
      <c r="D237" s="25"/>
      <c r="E237" s="25"/>
      <c r="F237" s="6"/>
    </row>
    <row r="238" ht="15.0" customHeight="1">
      <c r="A238" s="2"/>
      <c r="B238" s="2"/>
      <c r="C238" s="99" t="s">
        <v>200</v>
      </c>
      <c r="D238" s="99" t="s">
        <v>201</v>
      </c>
      <c r="E238" s="99" t="s">
        <v>202</v>
      </c>
      <c r="F238" s="99" t="s">
        <v>203</v>
      </c>
    </row>
    <row r="239" ht="15.0" customHeight="1">
      <c r="A239" s="77" t="s">
        <v>579</v>
      </c>
      <c r="B239" s="77" t="s">
        <v>580</v>
      </c>
      <c r="C239" s="2"/>
      <c r="D239" s="2"/>
      <c r="E239" s="96">
        <v>55000.0</v>
      </c>
      <c r="F239" s="2"/>
    </row>
    <row r="240" ht="15.0" customHeight="1">
      <c r="A240" s="77" t="s">
        <v>581</v>
      </c>
      <c r="B240" s="77" t="s">
        <v>582</v>
      </c>
      <c r="C240" s="2"/>
      <c r="D240" s="2"/>
      <c r="E240" s="96">
        <v>12000.0</v>
      </c>
      <c r="F240" s="2"/>
    </row>
    <row r="241" ht="15.0" customHeight="1">
      <c r="A241" s="77" t="s">
        <v>583</v>
      </c>
      <c r="B241" s="77" t="s">
        <v>584</v>
      </c>
      <c r="C241" s="2"/>
      <c r="D241" s="2"/>
      <c r="E241" s="96">
        <v>18000.0</v>
      </c>
      <c r="F241" s="2"/>
    </row>
    <row r="242" ht="15.0" customHeight="1">
      <c r="A242" s="77" t="s">
        <v>585</v>
      </c>
      <c r="B242" s="77" t="s">
        <v>586</v>
      </c>
      <c r="C242" s="2"/>
      <c r="D242" s="2"/>
      <c r="E242" s="96">
        <v>8000.0</v>
      </c>
      <c r="F242" s="2"/>
    </row>
    <row r="243" ht="15.0" customHeight="1">
      <c r="A243" s="77" t="s">
        <v>587</v>
      </c>
      <c r="B243" s="77" t="s">
        <v>588</v>
      </c>
      <c r="C243" s="100">
        <v>2.0</v>
      </c>
      <c r="D243" s="96">
        <v>20000.0</v>
      </c>
      <c r="E243" s="83">
        <f>C243*D243</f>
        <v>40000</v>
      </c>
      <c r="F243" s="2"/>
    </row>
    <row r="244" ht="15.0" customHeight="1">
      <c r="A244" s="77" t="s">
        <v>589</v>
      </c>
      <c r="B244" s="77" t="s">
        <v>590</v>
      </c>
      <c r="C244" s="2"/>
      <c r="D244" s="2"/>
      <c r="E244" s="96">
        <v>8000.0</v>
      </c>
      <c r="F244" s="2"/>
    </row>
    <row r="245" ht="15.0" customHeight="1">
      <c r="A245" s="77" t="s">
        <v>591</v>
      </c>
      <c r="B245" s="77" t="s">
        <v>592</v>
      </c>
      <c r="C245" s="2"/>
      <c r="D245" s="2"/>
      <c r="E245" s="96">
        <v>6000.0</v>
      </c>
      <c r="F245" s="2"/>
    </row>
    <row r="246" ht="15.0" customHeight="1">
      <c r="A246" s="77" t="s">
        <v>593</v>
      </c>
      <c r="B246" s="77" t="s">
        <v>594</v>
      </c>
      <c r="C246" s="2"/>
      <c r="D246" s="2"/>
      <c r="E246" s="96">
        <v>50000.0</v>
      </c>
      <c r="F246" s="2"/>
    </row>
    <row r="247" ht="15.0" customHeight="1">
      <c r="A247" s="77" t="s">
        <v>595</v>
      </c>
      <c r="B247" s="77" t="s">
        <v>596</v>
      </c>
      <c r="C247" s="2"/>
      <c r="D247" s="2"/>
      <c r="E247" s="96">
        <v>10000.0</v>
      </c>
      <c r="F247" s="2"/>
    </row>
    <row r="248" ht="15.0" customHeight="1">
      <c r="A248" s="77" t="s">
        <v>597</v>
      </c>
      <c r="B248" s="77" t="s">
        <v>598</v>
      </c>
      <c r="C248" s="2"/>
      <c r="D248" s="2"/>
      <c r="E248" s="96">
        <v>7500.0</v>
      </c>
      <c r="F248" s="2"/>
    </row>
    <row r="249" ht="15.0" customHeight="1">
      <c r="A249" s="77" t="s">
        <v>599</v>
      </c>
      <c r="B249" s="77" t="s">
        <v>600</v>
      </c>
      <c r="C249" s="2"/>
      <c r="D249" s="2"/>
      <c r="E249" s="96">
        <v>4000.0</v>
      </c>
      <c r="F249" s="2"/>
    </row>
    <row r="250" ht="15.0" customHeight="1">
      <c r="A250" s="77" t="s">
        <v>601</v>
      </c>
      <c r="B250" s="77" t="s">
        <v>602</v>
      </c>
      <c r="C250" s="2"/>
      <c r="D250" s="2"/>
      <c r="E250" s="96">
        <v>15000.0</v>
      </c>
      <c r="F250" s="2"/>
    </row>
    <row r="251" ht="15.75" customHeight="1">
      <c r="A251" s="2"/>
      <c r="B251" s="2"/>
      <c r="C251" s="2"/>
      <c r="D251" s="2"/>
      <c r="E251" s="2"/>
      <c r="F251" s="2"/>
    </row>
    <row r="252" ht="15.0" customHeight="1">
      <c r="A252" s="2"/>
      <c r="B252" s="79" t="s">
        <v>603</v>
      </c>
      <c r="C252" s="2"/>
      <c r="D252" s="2"/>
      <c r="E252" s="2"/>
      <c r="F252" s="80">
        <f>SUM(E239:E250)</f>
        <v>233500</v>
      </c>
    </row>
    <row r="253" ht="15.75" customHeight="1">
      <c r="A253" s="2"/>
      <c r="B253" s="2"/>
      <c r="C253" s="2"/>
      <c r="D253" s="2"/>
      <c r="E253" s="2"/>
      <c r="F253" s="2"/>
    </row>
    <row r="254" ht="15.0" customHeight="1">
      <c r="A254" s="2"/>
      <c r="B254" s="79" t="s">
        <v>604</v>
      </c>
      <c r="C254" s="2"/>
      <c r="D254" s="2"/>
      <c r="E254" s="2"/>
      <c r="F254" s="80">
        <f>F235+F252</f>
        <v>5272442.08</v>
      </c>
    </row>
    <row r="255" ht="15.75" customHeight="1">
      <c r="A255" s="2"/>
      <c r="B255" s="2"/>
      <c r="C255" s="2"/>
      <c r="D255" s="2"/>
      <c r="E255" s="2"/>
      <c r="F255" s="2"/>
    </row>
    <row r="256" ht="15.0" customHeight="1">
      <c r="A256" s="98" t="s">
        <v>122</v>
      </c>
      <c r="B256" s="25"/>
      <c r="C256" s="25"/>
      <c r="D256" s="25"/>
      <c r="E256" s="25"/>
      <c r="F256" s="6"/>
    </row>
    <row r="257" ht="15.0" customHeight="1">
      <c r="A257" s="2"/>
      <c r="B257" s="2"/>
      <c r="C257" s="99" t="s">
        <v>200</v>
      </c>
      <c r="D257" s="99" t="s">
        <v>201</v>
      </c>
      <c r="E257" s="99" t="s">
        <v>202</v>
      </c>
      <c r="F257" s="99" t="s">
        <v>203</v>
      </c>
    </row>
    <row r="258" ht="15.0" customHeight="1">
      <c r="A258" s="77" t="s">
        <v>605</v>
      </c>
      <c r="B258" s="77" t="s">
        <v>606</v>
      </c>
      <c r="C258" s="100">
        <v>2.0</v>
      </c>
      <c r="D258" s="78">
        <f>'Weekly Operating'!F124</f>
        <v>135757</v>
      </c>
      <c r="E258" s="83">
        <f>C258*D258</f>
        <v>271514</v>
      </c>
      <c r="F258" s="2"/>
    </row>
    <row r="259" ht="15.0" customHeight="1">
      <c r="A259" s="77" t="s">
        <v>607</v>
      </c>
      <c r="B259" s="77" t="s">
        <v>608</v>
      </c>
      <c r="C259" s="2"/>
      <c r="D259" s="90">
        <v>0.1</v>
      </c>
      <c r="E259" s="83">
        <f>D259*F235</f>
        <v>503894.208</v>
      </c>
      <c r="F259" s="2"/>
    </row>
    <row r="260" ht="15.75" customHeight="1">
      <c r="A260" s="2"/>
      <c r="B260" s="2"/>
      <c r="C260" s="2"/>
      <c r="D260" s="2"/>
      <c r="E260" s="2"/>
      <c r="F260" s="2"/>
    </row>
    <row r="261" ht="15.0" customHeight="1">
      <c r="A261" s="2"/>
      <c r="B261" s="79" t="s">
        <v>609</v>
      </c>
      <c r="C261" s="2"/>
      <c r="D261" s="2"/>
      <c r="E261" s="2"/>
      <c r="F261" s="80">
        <f>SUM(E258:E259)</f>
        <v>775408.208</v>
      </c>
    </row>
    <row r="262" ht="15.75" customHeight="1">
      <c r="A262" s="2"/>
      <c r="B262" s="2"/>
      <c r="C262" s="2"/>
      <c r="D262" s="2"/>
      <c r="E262" s="2"/>
      <c r="F262" s="2"/>
    </row>
    <row r="263" ht="15.0" customHeight="1">
      <c r="A263" s="2"/>
      <c r="B263" s="81" t="s">
        <v>123</v>
      </c>
      <c r="C263" s="2"/>
      <c r="D263" s="2"/>
      <c r="E263" s="2"/>
      <c r="F263" s="82">
        <f>F254+F261</f>
        <v>6047850.288</v>
      </c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13">
    <mergeCell ref="A168:F168"/>
    <mergeCell ref="A189:F189"/>
    <mergeCell ref="A212:F212"/>
    <mergeCell ref="A227:F227"/>
    <mergeCell ref="A237:F237"/>
    <mergeCell ref="A256:F256"/>
    <mergeCell ref="A6:F6"/>
    <mergeCell ref="A7:F7"/>
    <mergeCell ref="A9:F9"/>
    <mergeCell ref="A42:F42"/>
    <mergeCell ref="A92:F92"/>
    <mergeCell ref="A137:F137"/>
    <mergeCell ref="A152:F15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52.0"/>
    <col customWidth="1" min="3" max="3" width="10.0"/>
    <col customWidth="1" min="4" max="6" width="14.0"/>
    <col customWidth="1" min="7" max="26" width="8.71"/>
  </cols>
  <sheetData>
    <row r="1" ht="15.0" customHeight="1">
      <c r="A1" s="69" t="s">
        <v>104</v>
      </c>
      <c r="B1" s="2"/>
      <c r="C1" s="2"/>
      <c r="D1" s="2"/>
      <c r="E1" s="2"/>
      <c r="F1" s="70"/>
    </row>
    <row r="2" ht="15.0" customHeight="1">
      <c r="A2" s="72" t="s">
        <v>107</v>
      </c>
      <c r="B2" s="2"/>
      <c r="C2" s="2"/>
      <c r="D2" s="2"/>
      <c r="E2" s="2"/>
      <c r="F2" s="73" t="s">
        <v>108</v>
      </c>
    </row>
    <row r="3">
      <c r="A3" s="2"/>
      <c r="B3" s="2"/>
      <c r="C3" s="2"/>
      <c r="D3" s="2"/>
      <c r="E3" s="2"/>
      <c r="F3" s="2"/>
    </row>
    <row r="4" ht="15.0" customHeight="1">
      <c r="A4" s="74" t="s">
        <v>610</v>
      </c>
      <c r="B4" s="25"/>
      <c r="C4" s="25"/>
      <c r="D4" s="25"/>
      <c r="E4" s="25"/>
      <c r="F4" s="6"/>
    </row>
    <row r="5" ht="15.0" customHeight="1">
      <c r="A5" s="97" t="s">
        <v>611</v>
      </c>
      <c r="B5" s="25"/>
      <c r="C5" s="25"/>
      <c r="D5" s="25"/>
      <c r="E5" s="25"/>
      <c r="F5" s="6"/>
    </row>
    <row r="6">
      <c r="A6" s="2"/>
      <c r="B6" s="2"/>
      <c r="C6" s="2"/>
      <c r="D6" s="2"/>
      <c r="E6" s="2"/>
      <c r="F6" s="2"/>
    </row>
    <row r="7" ht="15.0" customHeight="1">
      <c r="A7" s="98" t="s">
        <v>125</v>
      </c>
      <c r="B7" s="25"/>
      <c r="C7" s="25"/>
      <c r="D7" s="25"/>
      <c r="E7" s="25"/>
      <c r="F7" s="6"/>
    </row>
    <row r="8" ht="15.0" customHeight="1">
      <c r="A8" s="2"/>
      <c r="B8" s="2"/>
      <c r="C8" s="99" t="s">
        <v>200</v>
      </c>
      <c r="D8" s="99" t="s">
        <v>201</v>
      </c>
      <c r="E8" s="99" t="s">
        <v>202</v>
      </c>
      <c r="F8" s="99" t="s">
        <v>203</v>
      </c>
    </row>
    <row r="9" ht="15.0" customHeight="1">
      <c r="A9" s="77" t="s">
        <v>612</v>
      </c>
      <c r="B9" s="77" t="s">
        <v>613</v>
      </c>
      <c r="C9" s="2"/>
      <c r="D9" s="2"/>
      <c r="E9" s="96">
        <v>800.0</v>
      </c>
      <c r="F9" s="2"/>
    </row>
    <row r="10" ht="15.0" customHeight="1">
      <c r="A10" s="77" t="s">
        <v>614</v>
      </c>
      <c r="B10" s="77" t="s">
        <v>615</v>
      </c>
      <c r="C10" s="2"/>
      <c r="D10" s="2"/>
      <c r="E10" s="96">
        <v>500.0</v>
      </c>
      <c r="F10" s="2"/>
    </row>
    <row r="11" ht="15.0" customHeight="1">
      <c r="A11" s="77" t="s">
        <v>616</v>
      </c>
      <c r="B11" s="77" t="s">
        <v>617</v>
      </c>
      <c r="C11" s="2"/>
      <c r="D11" s="2"/>
      <c r="E11" s="96">
        <v>600.0</v>
      </c>
      <c r="F11" s="2"/>
    </row>
    <row r="12" ht="15.0" customHeight="1">
      <c r="A12" s="77" t="s">
        <v>618</v>
      </c>
      <c r="B12" s="77" t="s">
        <v>619</v>
      </c>
      <c r="C12" s="2"/>
      <c r="D12" s="2"/>
      <c r="E12" s="96">
        <v>800.0</v>
      </c>
      <c r="F12" s="2"/>
    </row>
    <row r="13" ht="15.0" customHeight="1">
      <c r="A13" s="77" t="s">
        <v>620</v>
      </c>
      <c r="B13" s="77" t="s">
        <v>621</v>
      </c>
      <c r="C13" s="2"/>
      <c r="D13" s="2"/>
      <c r="E13" s="96">
        <v>1500.0</v>
      </c>
      <c r="F13" s="2"/>
    </row>
    <row r="14" ht="15.0" customHeight="1">
      <c r="A14" s="77" t="s">
        <v>622</v>
      </c>
      <c r="B14" s="77" t="s">
        <v>623</v>
      </c>
      <c r="C14" s="2"/>
      <c r="D14" s="2"/>
      <c r="E14" s="96">
        <v>400.0</v>
      </c>
      <c r="F14" s="2"/>
    </row>
    <row r="15" ht="15.0" customHeight="1">
      <c r="A15" s="77" t="s">
        <v>624</v>
      </c>
      <c r="B15" s="77" t="s">
        <v>625</v>
      </c>
      <c r="C15" s="2"/>
      <c r="D15" s="2"/>
      <c r="E15" s="96">
        <v>600.0</v>
      </c>
      <c r="F15" s="2"/>
    </row>
    <row r="16" ht="15.0" customHeight="1">
      <c r="A16" s="77" t="s">
        <v>626</v>
      </c>
      <c r="B16" s="77" t="s">
        <v>627</v>
      </c>
      <c r="C16" s="2"/>
      <c r="D16" s="2"/>
      <c r="E16" s="96">
        <v>2500.0</v>
      </c>
      <c r="F16" s="2"/>
    </row>
    <row r="17" ht="15.0" customHeight="1">
      <c r="A17" s="77" t="s">
        <v>628</v>
      </c>
      <c r="B17" s="77" t="s">
        <v>629</v>
      </c>
      <c r="C17" s="2"/>
      <c r="D17" s="2"/>
      <c r="E17" s="96">
        <v>300.0</v>
      </c>
      <c r="F17" s="2"/>
    </row>
    <row r="18" ht="15.0" customHeight="1">
      <c r="A18" s="77" t="s">
        <v>630</v>
      </c>
      <c r="B18" s="77" t="s">
        <v>631</v>
      </c>
      <c r="C18" s="2"/>
      <c r="D18" s="2"/>
      <c r="E18" s="96">
        <v>500.0</v>
      </c>
      <c r="F18" s="2"/>
    </row>
    <row r="19" ht="15.0" customHeight="1">
      <c r="A19" s="77" t="s">
        <v>632</v>
      </c>
      <c r="B19" s="77" t="s">
        <v>633</v>
      </c>
      <c r="C19" s="2"/>
      <c r="D19" s="2"/>
      <c r="E19" s="96">
        <v>800.0</v>
      </c>
      <c r="F19" s="2"/>
    </row>
    <row r="20" ht="15.75" customHeight="1">
      <c r="A20" s="2"/>
      <c r="B20" s="2"/>
      <c r="C20" s="2"/>
      <c r="D20" s="2"/>
      <c r="E20" s="2"/>
      <c r="F20" s="2"/>
    </row>
    <row r="21" ht="15.0" customHeight="1">
      <c r="A21" s="2"/>
      <c r="B21" s="79" t="s">
        <v>634</v>
      </c>
      <c r="C21" s="2"/>
      <c r="D21" s="2"/>
      <c r="E21" s="2"/>
      <c r="F21" s="80">
        <f>SUM(E9:E19)</f>
        <v>9300</v>
      </c>
    </row>
    <row r="22" ht="15.75" customHeight="1">
      <c r="A22" s="2"/>
      <c r="B22" s="2"/>
      <c r="C22" s="2"/>
      <c r="D22" s="2"/>
      <c r="E22" s="2"/>
      <c r="F22" s="2"/>
    </row>
    <row r="23" ht="15.0" customHeight="1">
      <c r="A23" s="98" t="s">
        <v>126</v>
      </c>
      <c r="B23" s="25"/>
      <c r="C23" s="25"/>
      <c r="D23" s="25"/>
      <c r="E23" s="25"/>
      <c r="F23" s="6"/>
    </row>
    <row r="24" ht="15.0" customHeight="1">
      <c r="A24" s="2"/>
      <c r="B24" s="2"/>
      <c r="C24" s="99" t="s">
        <v>200</v>
      </c>
      <c r="D24" s="99" t="s">
        <v>201</v>
      </c>
      <c r="E24" s="99" t="s">
        <v>202</v>
      </c>
      <c r="F24" s="99" t="s">
        <v>203</v>
      </c>
    </row>
    <row r="25" ht="15.0" customHeight="1">
      <c r="A25" s="77" t="s">
        <v>635</v>
      </c>
      <c r="B25" s="77" t="s">
        <v>636</v>
      </c>
      <c r="C25" s="2"/>
      <c r="D25" s="2"/>
      <c r="E25" s="96">
        <v>1250.0</v>
      </c>
      <c r="F25" s="2"/>
    </row>
    <row r="26" ht="15.0" customHeight="1">
      <c r="A26" s="77" t="s">
        <v>637</v>
      </c>
      <c r="B26" s="77" t="s">
        <v>638</v>
      </c>
      <c r="C26" s="2"/>
      <c r="D26" s="2"/>
      <c r="E26" s="96">
        <v>0.0</v>
      </c>
      <c r="F26" s="2"/>
    </row>
    <row r="27" ht="15.0" customHeight="1">
      <c r="A27" s="77" t="s">
        <v>639</v>
      </c>
      <c r="B27" s="77" t="s">
        <v>640</v>
      </c>
      <c r="C27" s="2"/>
      <c r="D27" s="2"/>
      <c r="E27" s="96">
        <v>0.0</v>
      </c>
      <c r="F27" s="2"/>
    </row>
    <row r="28" ht="15.0" customHeight="1">
      <c r="A28" s="77" t="s">
        <v>641</v>
      </c>
      <c r="B28" s="77" t="s">
        <v>642</v>
      </c>
      <c r="C28" s="2"/>
      <c r="D28" s="2"/>
      <c r="E28" s="102">
        <v>2000.0</v>
      </c>
      <c r="F28" s="2"/>
    </row>
    <row r="29" ht="15.0" customHeight="1">
      <c r="A29" s="77" t="s">
        <v>643</v>
      </c>
      <c r="B29" s="77" t="s">
        <v>644</v>
      </c>
      <c r="C29" s="2"/>
      <c r="D29" s="2"/>
      <c r="E29" s="96">
        <v>1500.0</v>
      </c>
      <c r="F29" s="2"/>
    </row>
    <row r="30" ht="15.0" customHeight="1">
      <c r="A30" s="77" t="s">
        <v>645</v>
      </c>
      <c r="B30" s="77" t="s">
        <v>646</v>
      </c>
      <c r="C30" s="2"/>
      <c r="D30" s="2"/>
      <c r="E30" s="96">
        <v>1500.0</v>
      </c>
      <c r="F30" s="2"/>
    </row>
    <row r="31" ht="15.0" customHeight="1">
      <c r="A31" s="77" t="s">
        <v>647</v>
      </c>
      <c r="B31" s="77" t="s">
        <v>648</v>
      </c>
      <c r="C31" s="2"/>
      <c r="D31" s="2"/>
      <c r="E31" s="96">
        <v>0.0</v>
      </c>
      <c r="F31" s="2"/>
    </row>
    <row r="32" ht="15.0" customHeight="1">
      <c r="A32" s="77" t="s">
        <v>649</v>
      </c>
      <c r="B32" s="77" t="s">
        <v>650</v>
      </c>
      <c r="C32" s="2"/>
      <c r="D32" s="2"/>
      <c r="E32" s="96">
        <v>1000.0</v>
      </c>
      <c r="F32" s="2"/>
    </row>
    <row r="33" ht="15.0" customHeight="1">
      <c r="A33" s="77" t="s">
        <v>651</v>
      </c>
      <c r="B33" s="77" t="s">
        <v>652</v>
      </c>
      <c r="C33" s="2"/>
      <c r="D33" s="2"/>
      <c r="E33" s="96">
        <v>400.0</v>
      </c>
      <c r="F33" s="2"/>
    </row>
    <row r="34" ht="15.0" customHeight="1">
      <c r="A34" s="77" t="s">
        <v>653</v>
      </c>
      <c r="B34" s="77" t="s">
        <v>654</v>
      </c>
      <c r="C34" s="2"/>
      <c r="D34" s="2"/>
      <c r="E34" s="96">
        <v>250.0</v>
      </c>
      <c r="F34" s="2"/>
    </row>
    <row r="35" ht="15.0" customHeight="1">
      <c r="A35" s="77" t="s">
        <v>655</v>
      </c>
      <c r="B35" s="77" t="s">
        <v>656</v>
      </c>
      <c r="C35" s="2"/>
      <c r="D35" s="2"/>
      <c r="E35" s="96">
        <v>500.0</v>
      </c>
      <c r="F35" s="2"/>
    </row>
    <row r="36" ht="15.75" customHeight="1">
      <c r="A36" s="2"/>
      <c r="B36" s="2"/>
      <c r="C36" s="2"/>
      <c r="D36" s="2"/>
      <c r="E36" s="2"/>
      <c r="F36" s="2"/>
    </row>
    <row r="37" ht="15.0" customHeight="1">
      <c r="A37" s="2"/>
      <c r="B37" s="79" t="s">
        <v>657</v>
      </c>
      <c r="C37" s="2"/>
      <c r="D37" s="2"/>
      <c r="E37" s="2"/>
      <c r="F37" s="80">
        <f>SUM(E25:E35)</f>
        <v>8400</v>
      </c>
    </row>
    <row r="38" ht="15.75" customHeight="1">
      <c r="A38" s="2"/>
      <c r="B38" s="2"/>
      <c r="C38" s="2"/>
      <c r="D38" s="2"/>
      <c r="E38" s="2"/>
      <c r="F38" s="2"/>
    </row>
    <row r="39" ht="15.0" customHeight="1">
      <c r="A39" s="98" t="s">
        <v>658</v>
      </c>
      <c r="B39" s="25"/>
      <c r="C39" s="25"/>
      <c r="D39" s="25"/>
      <c r="E39" s="25"/>
      <c r="F39" s="6"/>
    </row>
    <row r="40" ht="15.0" customHeight="1">
      <c r="A40" s="2"/>
      <c r="B40" s="2"/>
      <c r="C40" s="99" t="s">
        <v>200</v>
      </c>
      <c r="D40" s="99" t="s">
        <v>201</v>
      </c>
      <c r="E40" s="99" t="s">
        <v>202</v>
      </c>
      <c r="F40" s="99" t="s">
        <v>203</v>
      </c>
    </row>
    <row r="41" ht="15.0" customHeight="1">
      <c r="A41" s="77" t="s">
        <v>659</v>
      </c>
      <c r="B41" s="103" t="s">
        <v>660</v>
      </c>
      <c r="C41" s="104">
        <v>1.0</v>
      </c>
      <c r="D41" s="102">
        <v>6730.0</v>
      </c>
      <c r="E41" s="83">
        <f t="shared" ref="E41:E51" si="1">C41*D41</f>
        <v>6730</v>
      </c>
      <c r="F41" s="2"/>
    </row>
    <row r="42" ht="15.0" customHeight="1">
      <c r="A42" s="77" t="s">
        <v>659</v>
      </c>
      <c r="B42" s="103" t="s">
        <v>661</v>
      </c>
      <c r="C42" s="104">
        <v>1.0</v>
      </c>
      <c r="D42" s="102">
        <v>4807.0</v>
      </c>
      <c r="E42" s="83">
        <f t="shared" si="1"/>
        <v>4807</v>
      </c>
      <c r="F42" s="2"/>
    </row>
    <row r="43" ht="15.0" customHeight="1">
      <c r="A43" s="77" t="s">
        <v>659</v>
      </c>
      <c r="B43" s="103" t="s">
        <v>662</v>
      </c>
      <c r="C43" s="104">
        <v>1.0</v>
      </c>
      <c r="D43" s="102">
        <v>961.0</v>
      </c>
      <c r="E43" s="83">
        <f t="shared" si="1"/>
        <v>961</v>
      </c>
      <c r="F43" s="2"/>
    </row>
    <row r="44" ht="15.0" customHeight="1">
      <c r="A44" s="77" t="s">
        <v>659</v>
      </c>
      <c r="B44" s="103" t="s">
        <v>663</v>
      </c>
      <c r="C44" s="100">
        <v>1.0</v>
      </c>
      <c r="D44" s="96">
        <v>1250.0</v>
      </c>
      <c r="E44" s="83">
        <f t="shared" si="1"/>
        <v>1250</v>
      </c>
      <c r="F44" s="2"/>
    </row>
    <row r="45" ht="15.0" customHeight="1">
      <c r="A45" s="77" t="s">
        <v>664</v>
      </c>
      <c r="B45" s="103" t="s">
        <v>665</v>
      </c>
      <c r="C45" s="100">
        <v>1.0</v>
      </c>
      <c r="D45" s="102">
        <v>2885.0</v>
      </c>
      <c r="E45" s="83">
        <f t="shared" si="1"/>
        <v>2885</v>
      </c>
      <c r="F45" s="2"/>
    </row>
    <row r="46" ht="15.0" customHeight="1">
      <c r="A46" s="77" t="s">
        <v>666</v>
      </c>
      <c r="B46" s="77" t="s">
        <v>667</v>
      </c>
      <c r="C46" s="100">
        <v>0.0</v>
      </c>
      <c r="D46" s="96">
        <v>1600.0</v>
      </c>
      <c r="E46" s="83">
        <f t="shared" si="1"/>
        <v>0</v>
      </c>
      <c r="F46" s="2"/>
    </row>
    <row r="47" ht="15.0" customHeight="1">
      <c r="A47" s="77" t="s">
        <v>668</v>
      </c>
      <c r="B47" s="77" t="s">
        <v>669</v>
      </c>
      <c r="C47" s="100">
        <v>6.0</v>
      </c>
      <c r="D47" s="96">
        <v>1400.0</v>
      </c>
      <c r="E47" s="83">
        <f t="shared" si="1"/>
        <v>8400</v>
      </c>
      <c r="F47" s="2"/>
    </row>
    <row r="48" ht="15.0" customHeight="1">
      <c r="A48" s="77" t="s">
        <v>670</v>
      </c>
      <c r="B48" s="77" t="s">
        <v>671</v>
      </c>
      <c r="C48" s="100">
        <v>5.0</v>
      </c>
      <c r="D48" s="96">
        <v>1300.0</v>
      </c>
      <c r="E48" s="83">
        <f t="shared" si="1"/>
        <v>6500</v>
      </c>
      <c r="F48" s="2"/>
    </row>
    <row r="49" ht="15.0" customHeight="1">
      <c r="A49" s="77" t="s">
        <v>672</v>
      </c>
      <c r="B49" s="77" t="s">
        <v>673</v>
      </c>
      <c r="C49" s="100">
        <v>2.0</v>
      </c>
      <c r="D49" s="96">
        <v>1400.0</v>
      </c>
      <c r="E49" s="83">
        <f t="shared" si="1"/>
        <v>2800</v>
      </c>
      <c r="F49" s="2"/>
    </row>
    <row r="50" ht="15.0" customHeight="1">
      <c r="A50" s="77" t="s">
        <v>674</v>
      </c>
      <c r="B50" s="77" t="s">
        <v>675</v>
      </c>
      <c r="C50" s="100">
        <v>1.0</v>
      </c>
      <c r="D50" s="96">
        <v>1400.0</v>
      </c>
      <c r="E50" s="83">
        <f t="shared" si="1"/>
        <v>1400</v>
      </c>
      <c r="F50" s="2"/>
    </row>
    <row r="51" ht="15.0" customHeight="1">
      <c r="A51" s="77" t="s">
        <v>676</v>
      </c>
      <c r="B51" s="77" t="s">
        <v>677</v>
      </c>
      <c r="C51" s="100">
        <v>12.0</v>
      </c>
      <c r="D51" s="96">
        <v>60.0</v>
      </c>
      <c r="E51" s="83">
        <f t="shared" si="1"/>
        <v>720</v>
      </c>
      <c r="F51" s="2"/>
    </row>
    <row r="52" ht="15.0" customHeight="1">
      <c r="A52" s="77" t="s">
        <v>678</v>
      </c>
      <c r="B52" s="77" t="s">
        <v>679</v>
      </c>
      <c r="C52" s="100">
        <v>1.0</v>
      </c>
      <c r="D52" s="96">
        <v>234.0</v>
      </c>
      <c r="E52" s="83">
        <f t="shared" ref="E52:E69" si="2">C49*D49</f>
        <v>2800</v>
      </c>
      <c r="F52" s="2"/>
    </row>
    <row r="53" ht="15.0" customHeight="1">
      <c r="A53" s="77" t="s">
        <v>680</v>
      </c>
      <c r="B53" s="77" t="s">
        <v>681</v>
      </c>
      <c r="C53" s="100">
        <v>5.0</v>
      </c>
      <c r="D53" s="96">
        <v>1100.0</v>
      </c>
      <c r="E53" s="83">
        <f t="shared" si="2"/>
        <v>1400</v>
      </c>
      <c r="F53" s="2"/>
    </row>
    <row r="54" ht="15.0" customHeight="1">
      <c r="A54" s="77" t="s">
        <v>682</v>
      </c>
      <c r="B54" s="77" t="s">
        <v>683</v>
      </c>
      <c r="C54" s="100">
        <v>1.0</v>
      </c>
      <c r="D54" s="96">
        <v>200.0</v>
      </c>
      <c r="E54" s="83">
        <f t="shared" si="2"/>
        <v>720</v>
      </c>
      <c r="F54" s="2"/>
    </row>
    <row r="55" ht="15.0" customHeight="1">
      <c r="A55" s="77" t="s">
        <v>684</v>
      </c>
      <c r="B55" s="77" t="s">
        <v>685</v>
      </c>
      <c r="C55" s="100">
        <v>4.0</v>
      </c>
      <c r="D55" s="96">
        <v>1400.0</v>
      </c>
      <c r="E55" s="83">
        <f t="shared" si="2"/>
        <v>234</v>
      </c>
      <c r="F55" s="2"/>
    </row>
    <row r="56" ht="15.0" customHeight="1">
      <c r="A56" s="77" t="s">
        <v>686</v>
      </c>
      <c r="B56" s="77" t="s">
        <v>687</v>
      </c>
      <c r="C56" s="100">
        <v>1.0</v>
      </c>
      <c r="D56" s="96">
        <v>1900.0</v>
      </c>
      <c r="E56" s="83">
        <f t="shared" si="2"/>
        <v>5500</v>
      </c>
      <c r="F56" s="2"/>
    </row>
    <row r="57" ht="15.0" customHeight="1">
      <c r="A57" s="77" t="s">
        <v>688</v>
      </c>
      <c r="B57" s="77" t="s">
        <v>689</v>
      </c>
      <c r="C57" s="100">
        <v>2.0</v>
      </c>
      <c r="D57" s="96">
        <v>1750.0</v>
      </c>
      <c r="E57" s="83">
        <f t="shared" si="2"/>
        <v>200</v>
      </c>
      <c r="F57" s="2"/>
    </row>
    <row r="58" ht="15.0" customHeight="1">
      <c r="A58" s="77" t="s">
        <v>690</v>
      </c>
      <c r="B58" s="77" t="s">
        <v>691</v>
      </c>
      <c r="C58" s="100">
        <v>2.0</v>
      </c>
      <c r="D58" s="96">
        <v>800.0</v>
      </c>
      <c r="E58" s="83">
        <f t="shared" si="2"/>
        <v>5600</v>
      </c>
      <c r="F58" s="2"/>
    </row>
    <row r="59" ht="15.0" customHeight="1">
      <c r="A59" s="77" t="s">
        <v>692</v>
      </c>
      <c r="B59" s="77" t="s">
        <v>693</v>
      </c>
      <c r="C59" s="100">
        <v>1.0</v>
      </c>
      <c r="D59" s="96">
        <v>1400.0</v>
      </c>
      <c r="E59" s="83">
        <f t="shared" si="2"/>
        <v>1900</v>
      </c>
      <c r="F59" s="2"/>
    </row>
    <row r="60" ht="15.0" customHeight="1">
      <c r="A60" s="77" t="s">
        <v>694</v>
      </c>
      <c r="B60" s="77" t="s">
        <v>695</v>
      </c>
      <c r="C60" s="100">
        <v>1.0</v>
      </c>
      <c r="D60" s="96">
        <v>1500.0</v>
      </c>
      <c r="E60" s="83">
        <f t="shared" si="2"/>
        <v>3500</v>
      </c>
      <c r="F60" s="2"/>
    </row>
    <row r="61" ht="15.0" customHeight="1">
      <c r="A61" s="77" t="s">
        <v>696</v>
      </c>
      <c r="B61" s="77" t="s">
        <v>697</v>
      </c>
      <c r="C61" s="100">
        <v>1.0</v>
      </c>
      <c r="D61" s="96">
        <v>1500.0</v>
      </c>
      <c r="E61" s="83">
        <f t="shared" si="2"/>
        <v>1600</v>
      </c>
      <c r="F61" s="2"/>
    </row>
    <row r="62" ht="15.0" customHeight="1">
      <c r="A62" s="77" t="s">
        <v>698</v>
      </c>
      <c r="B62" s="77" t="s">
        <v>699</v>
      </c>
      <c r="C62" s="100">
        <v>1.0</v>
      </c>
      <c r="D62" s="96">
        <v>1200.0</v>
      </c>
      <c r="E62" s="83">
        <f t="shared" si="2"/>
        <v>1400</v>
      </c>
      <c r="F62" s="2"/>
    </row>
    <row r="63" ht="15.0" customHeight="1">
      <c r="A63" s="77" t="s">
        <v>700</v>
      </c>
      <c r="B63" s="77" t="s">
        <v>701</v>
      </c>
      <c r="C63" s="100">
        <v>1.0</v>
      </c>
      <c r="D63" s="96">
        <v>1400.0</v>
      </c>
      <c r="E63" s="83">
        <f t="shared" si="2"/>
        <v>1500</v>
      </c>
      <c r="F63" s="2"/>
    </row>
    <row r="64" ht="15.0" customHeight="1">
      <c r="A64" s="77" t="s">
        <v>702</v>
      </c>
      <c r="B64" s="77" t="s">
        <v>703</v>
      </c>
      <c r="C64" s="100">
        <v>1.0</v>
      </c>
      <c r="D64" s="96">
        <v>1100.0</v>
      </c>
      <c r="E64" s="83">
        <f t="shared" si="2"/>
        <v>1500</v>
      </c>
      <c r="F64" s="2"/>
    </row>
    <row r="65" ht="15.0" customHeight="1">
      <c r="A65" s="77" t="s">
        <v>704</v>
      </c>
      <c r="B65" s="77" t="s">
        <v>705</v>
      </c>
      <c r="C65" s="100">
        <v>1.0</v>
      </c>
      <c r="D65" s="96">
        <v>1100.0</v>
      </c>
      <c r="E65" s="83">
        <f t="shared" si="2"/>
        <v>1200</v>
      </c>
      <c r="F65" s="2"/>
    </row>
    <row r="66" ht="15.0" customHeight="1">
      <c r="A66" s="77" t="s">
        <v>706</v>
      </c>
      <c r="B66" s="77" t="s">
        <v>707</v>
      </c>
      <c r="C66" s="100">
        <v>2.0</v>
      </c>
      <c r="D66" s="96">
        <v>900.0</v>
      </c>
      <c r="E66" s="83">
        <f t="shared" si="2"/>
        <v>1400</v>
      </c>
      <c r="F66" s="2"/>
    </row>
    <row r="67" ht="15.0" customHeight="1">
      <c r="A67" s="77" t="s">
        <v>708</v>
      </c>
      <c r="B67" s="77" t="s">
        <v>179</v>
      </c>
      <c r="C67" s="100">
        <v>1.0</v>
      </c>
      <c r="D67" s="96">
        <v>1000.0</v>
      </c>
      <c r="E67" s="83">
        <f t="shared" si="2"/>
        <v>1100</v>
      </c>
      <c r="F67" s="2"/>
    </row>
    <row r="68" ht="15.0" customHeight="1">
      <c r="A68" s="77" t="s">
        <v>709</v>
      </c>
      <c r="B68" s="77" t="s">
        <v>710</v>
      </c>
      <c r="C68" s="100">
        <v>1.0</v>
      </c>
      <c r="D68" s="96">
        <v>1000.0</v>
      </c>
      <c r="E68" s="83">
        <f t="shared" si="2"/>
        <v>1100</v>
      </c>
      <c r="F68" s="2"/>
    </row>
    <row r="69" ht="15.0" customHeight="1">
      <c r="A69" s="77" t="s">
        <v>711</v>
      </c>
      <c r="B69" s="77" t="s">
        <v>712</v>
      </c>
      <c r="C69" s="100">
        <v>12.0</v>
      </c>
      <c r="D69" s="96">
        <v>225.0</v>
      </c>
      <c r="E69" s="83">
        <f t="shared" si="2"/>
        <v>1800</v>
      </c>
      <c r="F69" s="2"/>
    </row>
    <row r="70" ht="15.0" customHeight="1">
      <c r="A70" s="77" t="s">
        <v>713</v>
      </c>
      <c r="B70" s="77" t="s">
        <v>714</v>
      </c>
      <c r="C70" s="2"/>
      <c r="D70" s="2"/>
      <c r="E70" s="96">
        <v>2500.0</v>
      </c>
      <c r="F70" s="2"/>
    </row>
    <row r="71" ht="15.0" customHeight="1">
      <c r="A71" s="77" t="s">
        <v>715</v>
      </c>
      <c r="B71" s="77" t="s">
        <v>716</v>
      </c>
      <c r="C71" s="2"/>
      <c r="D71" s="2"/>
      <c r="E71" s="96">
        <v>1500.0</v>
      </c>
      <c r="F71" s="2"/>
    </row>
    <row r="72" ht="15.0" customHeight="1">
      <c r="A72" s="77" t="s">
        <v>717</v>
      </c>
      <c r="B72" s="77" t="s">
        <v>718</v>
      </c>
      <c r="C72" s="2"/>
      <c r="D72" s="2"/>
      <c r="E72" s="96">
        <v>1800.0</v>
      </c>
      <c r="F72" s="2"/>
    </row>
    <row r="73" ht="15.0" customHeight="1">
      <c r="A73" s="77" t="s">
        <v>719</v>
      </c>
      <c r="B73" s="77" t="s">
        <v>720</v>
      </c>
      <c r="C73" s="2"/>
      <c r="D73" s="2"/>
      <c r="E73" s="96">
        <v>900.0</v>
      </c>
      <c r="F73" s="2"/>
    </row>
    <row r="74" ht="15.0" customHeight="1">
      <c r="A74" s="77" t="s">
        <v>721</v>
      </c>
      <c r="B74" s="77" t="s">
        <v>722</v>
      </c>
      <c r="C74" s="2"/>
      <c r="D74" s="2"/>
      <c r="E74" s="96">
        <v>2000.0</v>
      </c>
      <c r="F74" s="2"/>
    </row>
    <row r="75" ht="15.0" customHeight="1">
      <c r="A75" s="77" t="s">
        <v>723</v>
      </c>
      <c r="B75" s="77" t="s">
        <v>724</v>
      </c>
      <c r="C75" s="2"/>
      <c r="D75" s="2"/>
      <c r="E75" s="96">
        <v>800.0</v>
      </c>
      <c r="F75" s="2"/>
    </row>
    <row r="76" ht="15.0" customHeight="1">
      <c r="A76" s="77" t="s">
        <v>725</v>
      </c>
      <c r="B76" s="77" t="s">
        <v>726</v>
      </c>
      <c r="C76" s="2"/>
      <c r="D76" s="2"/>
      <c r="E76" s="96">
        <v>600.0</v>
      </c>
      <c r="F76" s="2"/>
    </row>
    <row r="77" ht="15.0" customHeight="1">
      <c r="A77" s="77" t="s">
        <v>727</v>
      </c>
      <c r="B77" s="77" t="s">
        <v>728</v>
      </c>
      <c r="C77" s="100">
        <v>3.0</v>
      </c>
      <c r="D77" s="96">
        <v>190.0</v>
      </c>
      <c r="E77" s="83">
        <f>C74*D74</f>
        <v>0</v>
      </c>
      <c r="F77" s="2"/>
    </row>
    <row r="78" ht="15.0" customHeight="1">
      <c r="A78" s="77" t="s">
        <v>729</v>
      </c>
      <c r="B78" s="77" t="s">
        <v>730</v>
      </c>
      <c r="C78" s="2"/>
      <c r="D78" s="90">
        <v>0.08</v>
      </c>
      <c r="E78" s="83">
        <f>D78*(E56+E57)</f>
        <v>456</v>
      </c>
      <c r="F78" s="2"/>
    </row>
    <row r="79" ht="15.0" customHeight="1">
      <c r="A79" s="77" t="s">
        <v>731</v>
      </c>
      <c r="B79" s="77" t="s">
        <v>732</v>
      </c>
      <c r="C79" s="2"/>
      <c r="D79" s="90">
        <v>0.015</v>
      </c>
      <c r="E79" s="83">
        <f>D79*(E56+E57)</f>
        <v>85.5</v>
      </c>
      <c r="F79" s="2"/>
    </row>
    <row r="80" ht="15.0" customHeight="1">
      <c r="A80" s="77" t="s">
        <v>733</v>
      </c>
      <c r="B80" s="77" t="s">
        <v>430</v>
      </c>
      <c r="C80" s="2"/>
      <c r="D80" s="90">
        <v>0.15</v>
      </c>
      <c r="E80" s="83">
        <f>D77*(E50+E51)</f>
        <v>402800</v>
      </c>
      <c r="F80" s="2"/>
    </row>
    <row r="81" ht="15.0" customHeight="1">
      <c r="A81" s="77" t="s">
        <v>734</v>
      </c>
      <c r="B81" s="77" t="s">
        <v>735</v>
      </c>
      <c r="C81" s="2"/>
      <c r="D81" s="90">
        <v>0.13</v>
      </c>
      <c r="E81" s="83">
        <f>D78*E44</f>
        <v>100</v>
      </c>
      <c r="F81" s="2"/>
    </row>
    <row r="82" ht="15.0" customHeight="1">
      <c r="A82" s="77" t="s">
        <v>736</v>
      </c>
      <c r="B82" s="77" t="s">
        <v>737</v>
      </c>
      <c r="C82" s="2"/>
      <c r="D82" s="90">
        <v>0.18</v>
      </c>
      <c r="E82" s="83">
        <f>D79*SUM(E44:E73)</f>
        <v>976.635</v>
      </c>
      <c r="F82" s="2"/>
    </row>
    <row r="83" ht="15.0" customHeight="1">
      <c r="A83" s="2"/>
    </row>
    <row r="84" ht="15.0" customHeight="1">
      <c r="A84" s="2"/>
      <c r="B84" s="79" t="s">
        <v>738</v>
      </c>
      <c r="C84" s="2"/>
      <c r="D84" s="2"/>
      <c r="E84" s="2"/>
      <c r="F84" s="80">
        <f>SUM(E41:E76)</f>
        <v>81007</v>
      </c>
    </row>
    <row r="85" ht="15.0" customHeight="1">
      <c r="A85" s="2"/>
      <c r="B85" s="2"/>
      <c r="C85" s="2"/>
      <c r="D85" s="2"/>
      <c r="E85" s="2"/>
      <c r="F85" s="2"/>
    </row>
    <row r="86" ht="15.0" customHeight="1">
      <c r="A86" s="98" t="s">
        <v>739</v>
      </c>
      <c r="B86" s="25"/>
      <c r="C86" s="25"/>
      <c r="D86" s="25"/>
      <c r="E86" s="25"/>
      <c r="F86" s="6"/>
    </row>
    <row r="87" ht="15.0" customHeight="1">
      <c r="A87" s="2"/>
      <c r="B87" s="2"/>
      <c r="C87" s="99" t="s">
        <v>200</v>
      </c>
      <c r="D87" s="99" t="s">
        <v>201</v>
      </c>
      <c r="E87" s="99" t="s">
        <v>202</v>
      </c>
      <c r="F87" s="99" t="s">
        <v>203</v>
      </c>
    </row>
    <row r="88" ht="15.0" customHeight="1">
      <c r="A88" s="77" t="s">
        <v>740</v>
      </c>
      <c r="B88" s="77" t="s">
        <v>741</v>
      </c>
      <c r="C88" s="2"/>
      <c r="D88" s="2"/>
      <c r="E88" s="96">
        <v>5000.0</v>
      </c>
      <c r="F88" s="2"/>
    </row>
    <row r="89" ht="15.0" customHeight="1">
      <c r="A89" s="77" t="s">
        <v>742</v>
      </c>
      <c r="B89" s="77" t="s">
        <v>743</v>
      </c>
      <c r="C89" s="2"/>
      <c r="D89" s="2"/>
      <c r="E89" s="96">
        <v>2000.0</v>
      </c>
      <c r="F89" s="2"/>
    </row>
    <row r="90" ht="15.0" customHeight="1">
      <c r="A90" s="77" t="s">
        <v>744</v>
      </c>
      <c r="B90" s="77" t="s">
        <v>745</v>
      </c>
      <c r="C90" s="2"/>
      <c r="D90" s="2"/>
      <c r="E90" s="96">
        <v>1500.0</v>
      </c>
      <c r="F90" s="2"/>
    </row>
    <row r="91" ht="15.0" customHeight="1">
      <c r="A91" s="77" t="s">
        <v>746</v>
      </c>
      <c r="B91" s="77" t="s">
        <v>747</v>
      </c>
      <c r="C91" s="2"/>
      <c r="D91" s="2"/>
      <c r="E91" s="96">
        <v>1200.0</v>
      </c>
      <c r="F91" s="2"/>
    </row>
    <row r="92" ht="15.0" customHeight="1">
      <c r="A92" s="77" t="s">
        <v>748</v>
      </c>
      <c r="B92" s="77" t="s">
        <v>749</v>
      </c>
      <c r="C92" s="2"/>
      <c r="D92" s="2"/>
      <c r="E92" s="102">
        <v>5000.0</v>
      </c>
      <c r="F92" s="2"/>
    </row>
    <row r="93" ht="15.0" customHeight="1">
      <c r="A93" s="77" t="s">
        <v>750</v>
      </c>
      <c r="B93" s="77" t="s">
        <v>751</v>
      </c>
      <c r="C93" s="2"/>
      <c r="D93" s="2"/>
      <c r="E93" s="102">
        <v>5000.0</v>
      </c>
      <c r="F93" s="2"/>
    </row>
    <row r="94" ht="15.0" customHeight="1">
      <c r="A94" s="77" t="s">
        <v>752</v>
      </c>
      <c r="B94" s="77" t="s">
        <v>753</v>
      </c>
      <c r="C94" s="2"/>
      <c r="D94" s="2"/>
      <c r="E94" s="102">
        <v>5000.0</v>
      </c>
      <c r="F94" s="2"/>
    </row>
    <row r="95" ht="15.0" customHeight="1">
      <c r="A95" s="77" t="s">
        <v>754</v>
      </c>
      <c r="B95" s="77" t="s">
        <v>755</v>
      </c>
      <c r="C95" s="2"/>
      <c r="D95" s="2"/>
      <c r="E95" s="96">
        <v>800.0</v>
      </c>
      <c r="F95" s="2"/>
    </row>
    <row r="96" ht="15.0" customHeight="1">
      <c r="A96" s="2"/>
    </row>
    <row r="97" ht="15.0" customHeight="1">
      <c r="A97" s="2"/>
      <c r="B97" s="79" t="s">
        <v>756</v>
      </c>
      <c r="C97" s="2"/>
      <c r="D97" s="2"/>
      <c r="E97" s="2"/>
      <c r="F97" s="80">
        <f>SUM(E88:E95)</f>
        <v>25500</v>
      </c>
    </row>
    <row r="98" ht="15.0" customHeight="1">
      <c r="A98" s="2"/>
      <c r="B98" s="2"/>
      <c r="C98" s="2"/>
      <c r="D98" s="2"/>
      <c r="E98" s="2"/>
      <c r="F98" s="2"/>
    </row>
    <row r="99" ht="15.0" customHeight="1">
      <c r="A99" s="98" t="s">
        <v>757</v>
      </c>
      <c r="B99" s="25"/>
      <c r="C99" s="25"/>
      <c r="D99" s="25"/>
      <c r="E99" s="25"/>
      <c r="F99" s="6"/>
    </row>
    <row r="100" ht="15.0" customHeight="1">
      <c r="A100" s="2"/>
      <c r="B100" s="2"/>
      <c r="C100" s="99" t="s">
        <v>200</v>
      </c>
      <c r="D100" s="99" t="s">
        <v>201</v>
      </c>
      <c r="E100" s="99" t="s">
        <v>202</v>
      </c>
      <c r="F100" s="99" t="s">
        <v>203</v>
      </c>
    </row>
    <row r="101" ht="15.0" customHeight="1">
      <c r="A101" s="77" t="s">
        <v>758</v>
      </c>
      <c r="B101" s="77" t="s">
        <v>759</v>
      </c>
      <c r="C101" s="2"/>
      <c r="D101" s="2"/>
      <c r="E101" s="96">
        <v>5000.0</v>
      </c>
      <c r="F101" s="2"/>
    </row>
    <row r="102" ht="15.0" customHeight="1">
      <c r="A102" s="77" t="s">
        <v>760</v>
      </c>
      <c r="B102" s="77" t="s">
        <v>761</v>
      </c>
      <c r="C102" s="2"/>
      <c r="D102" s="2"/>
      <c r="E102" s="96">
        <v>1800.0</v>
      </c>
      <c r="F102" s="2"/>
    </row>
    <row r="103" ht="15.0" customHeight="1">
      <c r="A103" s="77" t="s">
        <v>762</v>
      </c>
      <c r="B103" s="77" t="s">
        <v>763</v>
      </c>
      <c r="C103" s="2"/>
      <c r="D103" s="2"/>
      <c r="E103" s="96">
        <v>300.0</v>
      </c>
      <c r="F103" s="2"/>
    </row>
    <row r="104" ht="15.0" customHeight="1">
      <c r="A104" s="77" t="s">
        <v>764</v>
      </c>
      <c r="B104" s="77" t="s">
        <v>765</v>
      </c>
      <c r="C104" s="2"/>
      <c r="D104" s="2"/>
      <c r="E104" s="96">
        <v>200.0</v>
      </c>
      <c r="F104" s="2"/>
    </row>
    <row r="105" ht="15.0" customHeight="1">
      <c r="A105" s="77" t="s">
        <v>766</v>
      </c>
      <c r="B105" s="77" t="s">
        <v>767</v>
      </c>
      <c r="C105" s="2"/>
      <c r="D105" s="2"/>
      <c r="E105" s="96">
        <v>400.0</v>
      </c>
      <c r="F105" s="2"/>
    </row>
    <row r="106" ht="15.0" customHeight="1">
      <c r="A106" s="77" t="s">
        <v>768</v>
      </c>
      <c r="B106" s="77" t="s">
        <v>769</v>
      </c>
      <c r="C106" s="2"/>
      <c r="D106" s="2"/>
      <c r="E106" s="96">
        <v>500.0</v>
      </c>
      <c r="F106" s="2"/>
    </row>
    <row r="107" ht="15.0" customHeight="1">
      <c r="A107" s="77" t="s">
        <v>770</v>
      </c>
      <c r="B107" s="77" t="s">
        <v>771</v>
      </c>
      <c r="C107" s="2"/>
      <c r="D107" s="2"/>
      <c r="E107" s="96">
        <v>200.0</v>
      </c>
      <c r="F107" s="2"/>
    </row>
    <row r="108" ht="15.0" customHeight="1">
      <c r="A108" s="77" t="s">
        <v>772</v>
      </c>
      <c r="B108" s="77" t="s">
        <v>773</v>
      </c>
      <c r="C108" s="2"/>
      <c r="D108" s="90">
        <v>0.03</v>
      </c>
      <c r="E108" s="78">
        <f>D105*'Seating Plan'!F26</f>
        <v>0</v>
      </c>
      <c r="F108" s="2"/>
    </row>
    <row r="109" ht="15.0" customHeight="1">
      <c r="A109" s="2"/>
    </row>
    <row r="110" ht="15.0" customHeight="1">
      <c r="A110" s="2"/>
      <c r="B110" s="79" t="s">
        <v>774</v>
      </c>
      <c r="C110" s="2"/>
      <c r="D110" s="2"/>
      <c r="E110" s="2"/>
      <c r="F110" s="80">
        <f>SUM(E101:E108)</f>
        <v>8400</v>
      </c>
    </row>
    <row r="111" ht="15.0" customHeight="1">
      <c r="A111" s="2"/>
      <c r="B111" s="2"/>
      <c r="C111" s="2"/>
      <c r="D111" s="2"/>
      <c r="E111" s="2"/>
      <c r="F111" s="2"/>
    </row>
    <row r="112" ht="15.0" customHeight="1">
      <c r="A112" s="98" t="s">
        <v>775</v>
      </c>
      <c r="B112" s="25"/>
      <c r="C112" s="25"/>
      <c r="D112" s="25"/>
      <c r="E112" s="25"/>
      <c r="F112" s="6"/>
    </row>
    <row r="113" ht="15.0" customHeight="1">
      <c r="A113" s="2"/>
      <c r="B113" s="2"/>
      <c r="C113" s="99" t="s">
        <v>200</v>
      </c>
      <c r="D113" s="99" t="s">
        <v>201</v>
      </c>
      <c r="E113" s="99" t="s">
        <v>202</v>
      </c>
      <c r="F113" s="99" t="s">
        <v>203</v>
      </c>
    </row>
    <row r="114" ht="15.0" customHeight="1">
      <c r="A114" s="77" t="s">
        <v>776</v>
      </c>
      <c r="B114" s="77" t="s">
        <v>777</v>
      </c>
      <c r="C114" s="2"/>
      <c r="D114" s="2"/>
      <c r="E114" s="96">
        <v>1500.0</v>
      </c>
      <c r="F114" s="2"/>
    </row>
    <row r="115" ht="15.0" customHeight="1">
      <c r="A115" s="77" t="s">
        <v>778</v>
      </c>
      <c r="B115" s="77" t="s">
        <v>779</v>
      </c>
      <c r="C115" s="2"/>
      <c r="D115" s="2"/>
      <c r="E115" s="96">
        <v>300.0</v>
      </c>
      <c r="F115" s="2"/>
    </row>
    <row r="116" ht="15.0" customHeight="1">
      <c r="A116" s="77" t="s">
        <v>780</v>
      </c>
      <c r="B116" s="77" t="s">
        <v>781</v>
      </c>
      <c r="C116" s="2"/>
      <c r="D116" s="2"/>
      <c r="E116" s="96">
        <v>500.0</v>
      </c>
      <c r="F116" s="2"/>
    </row>
    <row r="117" ht="15.0" customHeight="1">
      <c r="A117" s="77" t="s">
        <v>782</v>
      </c>
      <c r="B117" s="77" t="s">
        <v>783</v>
      </c>
      <c r="C117" s="2"/>
      <c r="D117" s="2"/>
      <c r="E117" s="96">
        <v>400.0</v>
      </c>
      <c r="F117" s="2"/>
    </row>
    <row r="118" ht="15.0" customHeight="1">
      <c r="A118" s="77" t="s">
        <v>784</v>
      </c>
      <c r="B118" s="77" t="s">
        <v>785</v>
      </c>
      <c r="C118" s="2"/>
      <c r="D118" s="2"/>
      <c r="E118" s="96">
        <v>200.0</v>
      </c>
      <c r="F118" s="2"/>
    </row>
    <row r="119" ht="15.0" customHeight="1">
      <c r="A119" s="77" t="s">
        <v>786</v>
      </c>
      <c r="B119" s="77" t="s">
        <v>787</v>
      </c>
      <c r="C119" s="2"/>
      <c r="D119" s="2"/>
      <c r="E119" s="96">
        <v>150.0</v>
      </c>
      <c r="F119" s="2"/>
    </row>
    <row r="120" ht="15.0" customHeight="1">
      <c r="A120" s="77" t="s">
        <v>788</v>
      </c>
      <c r="B120" s="77" t="s">
        <v>789</v>
      </c>
      <c r="C120" s="2"/>
      <c r="D120" s="2"/>
      <c r="E120" s="96">
        <v>100.0</v>
      </c>
      <c r="F120" s="2"/>
    </row>
    <row r="121" ht="15.0" customHeight="1">
      <c r="A121" s="2"/>
      <c r="B121" s="2"/>
      <c r="C121" s="2"/>
      <c r="D121" s="2"/>
      <c r="E121" s="2"/>
      <c r="F121" s="2"/>
    </row>
    <row r="122" ht="15.0" customHeight="1">
      <c r="A122" s="2"/>
      <c r="B122" s="79" t="s">
        <v>790</v>
      </c>
      <c r="C122" s="2"/>
      <c r="D122" s="2"/>
      <c r="E122" s="2"/>
      <c r="F122" s="80">
        <f>SUM(E114:E120)</f>
        <v>3150</v>
      </c>
    </row>
    <row r="123" ht="15.0" customHeight="1">
      <c r="A123" s="2"/>
      <c r="B123" s="2"/>
      <c r="C123" s="2"/>
      <c r="D123" s="2"/>
      <c r="E123" s="2"/>
      <c r="F123" s="2"/>
    </row>
    <row r="124" ht="15.0" customHeight="1">
      <c r="A124" s="2"/>
      <c r="B124" s="105" t="s">
        <v>791</v>
      </c>
      <c r="C124" s="2"/>
      <c r="D124" s="2"/>
      <c r="E124" s="2"/>
      <c r="F124" s="82">
        <f>F21+F37+F84+F97+F110+F122</f>
        <v>135757</v>
      </c>
    </row>
    <row r="125" ht="15.0" customHeight="1">
      <c r="A125" s="2"/>
      <c r="B125" s="106" t="s">
        <v>792</v>
      </c>
      <c r="C125" s="2"/>
      <c r="D125" s="2"/>
      <c r="E125" s="2"/>
      <c r="F125" s="107">
        <f>F124-E50-E51-0.18*E50</f>
        <v>133385</v>
      </c>
    </row>
    <row r="126" ht="15.0" customHeight="1">
      <c r="A126" s="2"/>
      <c r="B126" s="108" t="s">
        <v>793</v>
      </c>
    </row>
    <row r="127" ht="15.0" customHeight="1">
      <c r="A127" s="2"/>
      <c r="B127" s="92" t="s">
        <v>794</v>
      </c>
    </row>
    <row r="128" ht="15.0" customHeight="1">
      <c r="A128" s="2"/>
      <c r="B128" s="91" t="s">
        <v>795</v>
      </c>
    </row>
    <row r="129" ht="15.0" customHeight="1">
      <c r="A129" s="2"/>
      <c r="B129" s="91" t="s">
        <v>796</v>
      </c>
    </row>
    <row r="130" ht="15.0" customHeight="1">
      <c r="A130" s="2"/>
      <c r="B130" s="91" t="s">
        <v>797</v>
      </c>
    </row>
    <row r="131" ht="21.75" customHeight="1">
      <c r="A131" s="2"/>
      <c r="B131" s="91" t="s">
        <v>798</v>
      </c>
      <c r="C131" s="2"/>
      <c r="D131" s="2"/>
      <c r="E131" s="2"/>
      <c r="F131" s="2"/>
    </row>
    <row r="132" ht="21.75" customHeight="1">
      <c r="A132" s="2"/>
      <c r="B132" s="91" t="s">
        <v>799</v>
      </c>
      <c r="C132" s="2"/>
      <c r="D132" s="2"/>
      <c r="E132" s="2"/>
      <c r="F132" s="2"/>
    </row>
    <row r="133" ht="21.75" customHeight="1">
      <c r="A133" s="2"/>
      <c r="B133" s="91" t="s">
        <v>800</v>
      </c>
      <c r="C133" s="2"/>
      <c r="D133" s="2"/>
      <c r="E133" s="2"/>
      <c r="F133" s="2"/>
    </row>
    <row r="134" ht="21.75" customHeight="1">
      <c r="A134" s="2"/>
      <c r="B134" s="91" t="s">
        <v>801</v>
      </c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  <row r="1001" ht="15.75" customHeight="1">
      <c r="A1001" s="2"/>
      <c r="B1001" s="2"/>
      <c r="C1001" s="2"/>
      <c r="D1001" s="2"/>
      <c r="E1001" s="2"/>
      <c r="F1001" s="2"/>
    </row>
  </sheetData>
  <mergeCells count="16">
    <mergeCell ref="A4:F4"/>
    <mergeCell ref="A5:F5"/>
    <mergeCell ref="A7:F7"/>
    <mergeCell ref="A23:F23"/>
    <mergeCell ref="A39:F39"/>
    <mergeCell ref="A83:F83"/>
    <mergeCell ref="A86:F86"/>
    <mergeCell ref="B129:F129"/>
    <mergeCell ref="B130:F130"/>
    <mergeCell ref="A96:F96"/>
    <mergeCell ref="A99:F99"/>
    <mergeCell ref="A109:F109"/>
    <mergeCell ref="A112:F112"/>
    <mergeCell ref="B126:F126"/>
    <mergeCell ref="B127:F127"/>
    <mergeCell ref="B128:F128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2.0"/>
    <col customWidth="1" min="3" max="4" width="10.0"/>
    <col customWidth="1" min="5" max="5" width="12.0"/>
    <col customWidth="1" min="6" max="7" width="14.0"/>
    <col customWidth="1" min="8" max="26" width="8.71"/>
  </cols>
  <sheetData>
    <row r="1" ht="15.0" customHeight="1">
      <c r="A1" s="69" t="s">
        <v>104</v>
      </c>
      <c r="B1" s="2"/>
      <c r="C1" s="2"/>
      <c r="D1" s="2"/>
      <c r="E1" s="2"/>
      <c r="F1" s="70"/>
      <c r="G1" s="2"/>
    </row>
    <row r="2" ht="15.0" customHeight="1">
      <c r="A2" s="72" t="s">
        <v>107</v>
      </c>
      <c r="B2" s="2"/>
      <c r="C2" s="2"/>
      <c r="D2" s="2"/>
      <c r="E2" s="2"/>
      <c r="F2" s="73" t="s">
        <v>108</v>
      </c>
      <c r="G2" s="2"/>
    </row>
    <row r="3">
      <c r="A3" s="2"/>
      <c r="B3" s="2"/>
      <c r="C3" s="2"/>
      <c r="D3" s="2"/>
      <c r="E3" s="2"/>
      <c r="F3" s="2"/>
      <c r="G3" s="2"/>
    </row>
    <row r="4" ht="15.0" customHeight="1">
      <c r="A4" s="74" t="s">
        <v>802</v>
      </c>
      <c r="B4" s="25"/>
      <c r="C4" s="25"/>
      <c r="D4" s="25"/>
      <c r="E4" s="25"/>
      <c r="F4" s="25"/>
      <c r="G4" s="6"/>
    </row>
    <row r="5" ht="15.0" customHeight="1">
      <c r="A5" s="97" t="s">
        <v>803</v>
      </c>
      <c r="B5" s="25"/>
      <c r="C5" s="25"/>
      <c r="D5" s="25"/>
      <c r="E5" s="25"/>
      <c r="F5" s="25"/>
      <c r="G5" s="6"/>
    </row>
    <row r="6">
      <c r="A6" s="2"/>
      <c r="B6" s="2"/>
      <c r="C6" s="2"/>
      <c r="D6" s="2"/>
      <c r="E6" s="2"/>
      <c r="F6" s="2"/>
      <c r="G6" s="2"/>
    </row>
    <row r="7" ht="15.0" customHeight="1">
      <c r="A7" s="2"/>
      <c r="B7" s="87" t="s">
        <v>804</v>
      </c>
      <c r="C7" s="100">
        <v>150.0</v>
      </c>
      <c r="D7" s="2"/>
      <c r="E7" s="2"/>
      <c r="F7" s="2"/>
      <c r="G7" s="2"/>
    </row>
    <row r="8" ht="15.0" customHeight="1">
      <c r="A8" s="2"/>
      <c r="B8" s="87" t="s">
        <v>805</v>
      </c>
      <c r="C8" s="100">
        <v>12.0</v>
      </c>
      <c r="D8" s="2"/>
      <c r="E8" s="2"/>
      <c r="F8" s="2"/>
      <c r="G8" s="2"/>
    </row>
    <row r="9" ht="15.0" customHeight="1">
      <c r="A9" s="2"/>
      <c r="B9" s="79" t="s">
        <v>806</v>
      </c>
      <c r="C9" s="109">
        <f>C7*C8</f>
        <v>1800</v>
      </c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 ht="15.0" customHeight="1">
      <c r="A11" s="110" t="s">
        <v>807</v>
      </c>
      <c r="B11" s="110" t="s">
        <v>808</v>
      </c>
      <c r="C11" s="111" t="s">
        <v>809</v>
      </c>
      <c r="D11" s="111" t="s">
        <v>810</v>
      </c>
      <c r="E11" s="111" t="s">
        <v>811</v>
      </c>
      <c r="F11" s="111" t="s">
        <v>812</v>
      </c>
      <c r="G11" s="2"/>
    </row>
    <row r="12" ht="15.0" customHeight="1">
      <c r="A12" s="92" t="s">
        <v>813</v>
      </c>
      <c r="B12" s="77" t="s">
        <v>814</v>
      </c>
      <c r="C12" s="100">
        <v>2.0</v>
      </c>
      <c r="D12" s="100">
        <v>80.0</v>
      </c>
      <c r="E12" s="96">
        <v>40.0</v>
      </c>
      <c r="F12" s="83">
        <f t="shared" ref="F12:F24" si="1">C12*D12*E12</f>
        <v>6400</v>
      </c>
      <c r="G12" s="2"/>
    </row>
    <row r="13" ht="15.0" customHeight="1">
      <c r="A13" s="2"/>
      <c r="B13" s="77" t="s">
        <v>815</v>
      </c>
      <c r="C13" s="100">
        <v>2.0</v>
      </c>
      <c r="D13" s="100">
        <v>50.0</v>
      </c>
      <c r="E13" s="96">
        <v>60.0</v>
      </c>
      <c r="F13" s="83">
        <f t="shared" si="1"/>
        <v>6000</v>
      </c>
      <c r="G13" s="2"/>
    </row>
    <row r="14" ht="15.0" customHeight="1">
      <c r="A14" s="2"/>
      <c r="B14" s="77" t="s">
        <v>816</v>
      </c>
      <c r="C14" s="100">
        <v>2.0</v>
      </c>
      <c r="D14" s="100">
        <v>20.0</v>
      </c>
      <c r="E14" s="96">
        <v>80.0</v>
      </c>
      <c r="F14" s="83">
        <f t="shared" si="1"/>
        <v>3200</v>
      </c>
      <c r="G14" s="2"/>
    </row>
    <row r="15" ht="15.0" customHeight="1">
      <c r="A15" s="92" t="s">
        <v>817</v>
      </c>
      <c r="B15" s="77" t="s">
        <v>814</v>
      </c>
      <c r="C15" s="100">
        <v>2.0</v>
      </c>
      <c r="D15" s="100">
        <v>40.0</v>
      </c>
      <c r="E15" s="96">
        <v>50.0</v>
      </c>
      <c r="F15" s="83">
        <f t="shared" si="1"/>
        <v>4000</v>
      </c>
      <c r="G15" s="2"/>
    </row>
    <row r="16" ht="15.0" customHeight="1">
      <c r="A16" s="2"/>
      <c r="B16" s="77" t="s">
        <v>815</v>
      </c>
      <c r="C16" s="100">
        <v>2.0</v>
      </c>
      <c r="D16" s="100">
        <v>70.0</v>
      </c>
      <c r="E16" s="96">
        <v>80.0</v>
      </c>
      <c r="F16" s="83">
        <f t="shared" si="1"/>
        <v>11200</v>
      </c>
      <c r="G16" s="2"/>
    </row>
    <row r="17" ht="15.0" customHeight="1">
      <c r="A17" s="2"/>
      <c r="B17" s="77" t="s">
        <v>816</v>
      </c>
      <c r="C17" s="100">
        <v>2.0</v>
      </c>
      <c r="D17" s="100">
        <v>40.0</v>
      </c>
      <c r="E17" s="96">
        <v>110.0</v>
      </c>
      <c r="F17" s="83">
        <f t="shared" si="1"/>
        <v>8800</v>
      </c>
      <c r="G17" s="2"/>
    </row>
    <row r="18" ht="15.0" customHeight="1">
      <c r="A18" s="92" t="s">
        <v>818</v>
      </c>
      <c r="B18" s="77" t="s">
        <v>814</v>
      </c>
      <c r="C18" s="100">
        <v>4.0</v>
      </c>
      <c r="D18" s="100">
        <v>30.0</v>
      </c>
      <c r="E18" s="96">
        <v>60.0</v>
      </c>
      <c r="F18" s="83">
        <f t="shared" si="1"/>
        <v>7200</v>
      </c>
      <c r="G18" s="2"/>
    </row>
    <row r="19" ht="15.0" customHeight="1">
      <c r="A19" s="2"/>
      <c r="B19" s="77" t="s">
        <v>815</v>
      </c>
      <c r="C19" s="100">
        <v>4.0</v>
      </c>
      <c r="D19" s="100">
        <v>50.0</v>
      </c>
      <c r="E19" s="96">
        <v>100.0</v>
      </c>
      <c r="F19" s="83">
        <f t="shared" si="1"/>
        <v>20000</v>
      </c>
      <c r="G19" s="2"/>
    </row>
    <row r="20" ht="15.0" customHeight="1">
      <c r="A20" s="2"/>
      <c r="B20" s="77" t="s">
        <v>816</v>
      </c>
      <c r="C20" s="100">
        <v>4.0</v>
      </c>
      <c r="D20" s="100">
        <v>50.0</v>
      </c>
      <c r="E20" s="96">
        <v>140.0</v>
      </c>
      <c r="F20" s="83">
        <f t="shared" si="1"/>
        <v>28000</v>
      </c>
      <c r="G20" s="2"/>
    </row>
    <row r="21" ht="15.0" customHeight="1">
      <c r="A21" s="2"/>
      <c r="B21" s="77" t="s">
        <v>819</v>
      </c>
      <c r="C21" s="100">
        <v>4.0</v>
      </c>
      <c r="D21" s="100">
        <v>20.0</v>
      </c>
      <c r="E21" s="96">
        <v>185.0</v>
      </c>
      <c r="F21" s="83">
        <f t="shared" si="1"/>
        <v>14800</v>
      </c>
      <c r="G21" s="2"/>
    </row>
    <row r="22" ht="15.0" customHeight="1">
      <c r="A22" s="92" t="s">
        <v>820</v>
      </c>
      <c r="B22" s="77" t="s">
        <v>814</v>
      </c>
      <c r="C22" s="100">
        <v>4.0</v>
      </c>
      <c r="D22" s="100">
        <v>40.0</v>
      </c>
      <c r="E22" s="96">
        <v>55.0</v>
      </c>
      <c r="F22" s="83">
        <f t="shared" si="1"/>
        <v>8800</v>
      </c>
      <c r="G22" s="2"/>
    </row>
    <row r="23" ht="15.0" customHeight="1">
      <c r="A23" s="2"/>
      <c r="B23" s="77" t="s">
        <v>815</v>
      </c>
      <c r="C23" s="100">
        <v>4.0</v>
      </c>
      <c r="D23" s="100">
        <v>60.0</v>
      </c>
      <c r="E23" s="96">
        <v>90.0</v>
      </c>
      <c r="F23" s="83">
        <f t="shared" si="1"/>
        <v>21600</v>
      </c>
      <c r="G23" s="2"/>
    </row>
    <row r="24" ht="15.0" customHeight="1">
      <c r="A24" s="2"/>
      <c r="B24" s="77" t="s">
        <v>816</v>
      </c>
      <c r="C24" s="100">
        <v>4.0</v>
      </c>
      <c r="D24" s="100">
        <v>50.0</v>
      </c>
      <c r="E24" s="96">
        <v>115.0</v>
      </c>
      <c r="F24" s="83">
        <f t="shared" si="1"/>
        <v>23000</v>
      </c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0" customHeight="1">
      <c r="A26" s="2"/>
      <c r="B26" s="81" t="s">
        <v>821</v>
      </c>
      <c r="C26" s="2"/>
      <c r="D26" s="2"/>
      <c r="E26" s="2"/>
      <c r="F26" s="82">
        <f>SUM(F12:F24)</f>
        <v>163000</v>
      </c>
      <c r="G26" s="2"/>
    </row>
    <row r="27" ht="15.0" customHeight="1">
      <c r="A27" s="2"/>
      <c r="B27" s="92" t="s">
        <v>822</v>
      </c>
      <c r="C27" s="2"/>
      <c r="D27" s="2"/>
      <c r="E27" s="2"/>
      <c r="F27" s="83">
        <f>F26/C9</f>
        <v>90.55555556</v>
      </c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0" customHeight="1">
      <c r="A29" s="2"/>
      <c r="B29" s="87" t="s">
        <v>823</v>
      </c>
      <c r="C29" s="2"/>
      <c r="D29" s="2"/>
      <c r="E29" s="2"/>
      <c r="F29" s="112">
        <f>C12*D12+C15*D15+C18*D18+C22*D22</f>
        <v>520</v>
      </c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0" customHeight="1">
      <c r="A31" s="2"/>
      <c r="B31" s="87" t="s">
        <v>824</v>
      </c>
      <c r="C31" s="2"/>
      <c r="D31" s="2"/>
      <c r="E31" s="2"/>
      <c r="F31" s="2"/>
      <c r="G31" s="2"/>
    </row>
    <row r="32" ht="15.0" customHeight="1">
      <c r="A32" s="2"/>
      <c r="B32" s="113" t="s">
        <v>825</v>
      </c>
      <c r="C32" s="99" t="s">
        <v>812</v>
      </c>
      <c r="D32" s="99" t="s">
        <v>826</v>
      </c>
      <c r="E32" s="99" t="s">
        <v>827</v>
      </c>
      <c r="F32" s="2"/>
      <c r="G32" s="2"/>
    </row>
    <row r="33" ht="15.0" customHeight="1">
      <c r="A33" s="2"/>
      <c r="B33" s="77" t="s">
        <v>828</v>
      </c>
      <c r="C33" s="83">
        <f>F26*1.1</f>
        <v>179300</v>
      </c>
      <c r="D33" s="112">
        <f>C7*C8*1.1</f>
        <v>1980</v>
      </c>
      <c r="E33" s="83">
        <f t="shared" ref="E33:E39" si="2">C33/D33</f>
        <v>90.55555556</v>
      </c>
      <c r="F33" s="2"/>
      <c r="G33" s="2"/>
    </row>
    <row r="34" ht="15.0" customHeight="1">
      <c r="A34" s="2"/>
      <c r="B34" s="77" t="s">
        <v>33</v>
      </c>
      <c r="C34" s="83">
        <f>F26*1</f>
        <v>163000</v>
      </c>
      <c r="D34" s="112">
        <f>C7*C8*1</f>
        <v>1800</v>
      </c>
      <c r="E34" s="83">
        <f t="shared" si="2"/>
        <v>90.55555556</v>
      </c>
      <c r="F34" s="2"/>
      <c r="G34" s="2"/>
    </row>
    <row r="35" ht="15.0" customHeight="1">
      <c r="A35" s="2"/>
      <c r="B35" s="77" t="s">
        <v>34</v>
      </c>
      <c r="C35" s="83">
        <f>F26*0.9</f>
        <v>146700</v>
      </c>
      <c r="D35" s="112">
        <f>C7*C8*0.9</f>
        <v>1620</v>
      </c>
      <c r="E35" s="83">
        <f t="shared" si="2"/>
        <v>90.55555556</v>
      </c>
      <c r="F35" s="2"/>
      <c r="G35" s="2"/>
    </row>
    <row r="36" ht="15.0" customHeight="1">
      <c r="A36" s="2"/>
      <c r="B36" s="77" t="s">
        <v>35</v>
      </c>
      <c r="C36" s="83">
        <f>F26*0.8</f>
        <v>130400</v>
      </c>
      <c r="D36" s="112">
        <f>C7*C8*0.8</f>
        <v>1440</v>
      </c>
      <c r="E36" s="83">
        <f t="shared" si="2"/>
        <v>90.55555556</v>
      </c>
      <c r="F36" s="2"/>
      <c r="G36" s="2"/>
    </row>
    <row r="37" ht="15.0" customHeight="1">
      <c r="A37" s="2"/>
      <c r="B37" s="77" t="s">
        <v>84</v>
      </c>
      <c r="C37" s="83">
        <f>F26*0.7</f>
        <v>114100</v>
      </c>
      <c r="D37" s="112">
        <f>C7*C8*0.7</f>
        <v>1260</v>
      </c>
      <c r="E37" s="83">
        <f t="shared" si="2"/>
        <v>90.55555556</v>
      </c>
      <c r="F37" s="2"/>
      <c r="G37" s="2"/>
    </row>
    <row r="38" ht="15.0" customHeight="1">
      <c r="A38" s="2"/>
      <c r="B38" s="77" t="s">
        <v>829</v>
      </c>
      <c r="C38" s="83">
        <f>F26*0.6</f>
        <v>97800</v>
      </c>
      <c r="D38" s="112">
        <f>C7*C8*0.6</f>
        <v>1080</v>
      </c>
      <c r="E38" s="83">
        <f t="shared" si="2"/>
        <v>90.55555556</v>
      </c>
      <c r="F38" s="2"/>
      <c r="G38" s="2"/>
    </row>
    <row r="39" ht="15.0" customHeight="1">
      <c r="A39" s="2"/>
      <c r="B39" s="77" t="s">
        <v>830</v>
      </c>
      <c r="C39" s="83">
        <f>F26*0.5</f>
        <v>81500</v>
      </c>
      <c r="D39" s="112">
        <f>C7*C8*0.5</f>
        <v>900</v>
      </c>
      <c r="E39" s="83">
        <f t="shared" si="2"/>
        <v>90.55555556</v>
      </c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0" customHeight="1">
      <c r="A41" s="2"/>
      <c r="B41" s="92" t="s">
        <v>831</v>
      </c>
      <c r="C41" s="2"/>
      <c r="D41" s="2"/>
      <c r="E41" s="2"/>
      <c r="F41" s="2"/>
      <c r="G41" s="2"/>
    </row>
    <row r="42" ht="21.75" customHeight="1">
      <c r="A42" s="2"/>
      <c r="B42" s="91" t="s">
        <v>832</v>
      </c>
    </row>
    <row r="43" ht="15.0" customHeight="1">
      <c r="A43" s="2"/>
      <c r="B43" s="91" t="s">
        <v>833</v>
      </c>
    </row>
    <row r="44" ht="15.0" customHeight="1">
      <c r="A44" s="2"/>
      <c r="B44" s="91" t="s">
        <v>834</v>
      </c>
    </row>
    <row r="45" ht="15.0" customHeight="1">
      <c r="A45" s="2"/>
      <c r="B45" s="91" t="s">
        <v>835</v>
      </c>
    </row>
    <row r="46" ht="21.75" customHeight="1">
      <c r="A46" s="2"/>
      <c r="B46" s="91" t="s">
        <v>836</v>
      </c>
    </row>
    <row r="47" ht="15.0" customHeight="1">
      <c r="A47" s="2"/>
      <c r="B47" s="91" t="s">
        <v>837</v>
      </c>
    </row>
    <row r="48" ht="15.0" customHeight="1">
      <c r="A48" s="2"/>
      <c r="B48" s="91" t="s">
        <v>838</v>
      </c>
    </row>
    <row r="49" ht="15.0" customHeight="1">
      <c r="A49" s="2"/>
      <c r="B49" s="91" t="s">
        <v>839</v>
      </c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76" t="s">
        <v>840</v>
      </c>
      <c r="B52" s="25"/>
      <c r="C52" s="25"/>
      <c r="D52" s="25"/>
      <c r="E52" s="25"/>
      <c r="F52" s="25"/>
      <c r="G52" s="6"/>
    </row>
    <row r="53" ht="15.75" customHeight="1">
      <c r="A53" s="2"/>
      <c r="B53" s="110" t="s">
        <v>48</v>
      </c>
      <c r="C53" s="111" t="s">
        <v>841</v>
      </c>
      <c r="D53" s="111" t="s">
        <v>842</v>
      </c>
      <c r="E53" s="111" t="s">
        <v>812</v>
      </c>
      <c r="F53" s="111" t="s">
        <v>843</v>
      </c>
      <c r="G53" s="111" t="s">
        <v>844</v>
      </c>
    </row>
    <row r="54" ht="15.75" customHeight="1">
      <c r="A54" s="2"/>
      <c r="B54" s="77" t="s">
        <v>845</v>
      </c>
      <c r="C54" s="96">
        <v>12.0</v>
      </c>
      <c r="D54" s="90">
        <v>0.7</v>
      </c>
      <c r="E54" s="83">
        <f>C54*C9*D54</f>
        <v>15120</v>
      </c>
      <c r="F54" s="90">
        <v>0.25</v>
      </c>
      <c r="G54" s="83">
        <f t="shared" ref="G54:G56" si="3">E54*(1-F54)</f>
        <v>11340</v>
      </c>
    </row>
    <row r="55" ht="15.75" customHeight="1">
      <c r="A55" s="2"/>
      <c r="B55" s="77" t="s">
        <v>846</v>
      </c>
      <c r="C55" s="96">
        <v>6.0</v>
      </c>
      <c r="D55" s="90">
        <v>0.5</v>
      </c>
      <c r="E55" s="83">
        <f>C55*C9*D55</f>
        <v>5400</v>
      </c>
      <c r="F55" s="90">
        <v>0.35</v>
      </c>
      <c r="G55" s="83">
        <f t="shared" si="3"/>
        <v>3510</v>
      </c>
    </row>
    <row r="56" ht="15.75" customHeight="1">
      <c r="A56" s="2"/>
      <c r="B56" s="77" t="s">
        <v>847</v>
      </c>
      <c r="C56" s="96">
        <v>8.0</v>
      </c>
      <c r="D56" s="90">
        <v>0.25</v>
      </c>
      <c r="E56" s="83">
        <f>C56*C9*D56</f>
        <v>3600</v>
      </c>
      <c r="F56" s="90">
        <v>0.45</v>
      </c>
      <c r="G56" s="83">
        <f t="shared" si="3"/>
        <v>1980</v>
      </c>
    </row>
    <row r="57" ht="15.75" customHeight="1">
      <c r="A57" s="2"/>
      <c r="B57" s="79" t="s">
        <v>848</v>
      </c>
      <c r="C57" s="2"/>
      <c r="D57" s="2"/>
      <c r="E57" s="80">
        <f>SUM(E54:E56)</f>
        <v>24120</v>
      </c>
      <c r="F57" s="2"/>
      <c r="G57" s="80">
        <f>SUM(G54:G56)</f>
        <v>16830</v>
      </c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81" t="s">
        <v>849</v>
      </c>
      <c r="C59" s="2"/>
      <c r="D59" s="2"/>
      <c r="E59" s="2"/>
      <c r="F59" s="2"/>
      <c r="G59" s="82">
        <f>F26+G57</f>
        <v>179830</v>
      </c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</sheetData>
  <mergeCells count="11">
    <mergeCell ref="B47:G47"/>
    <mergeCell ref="B48:G48"/>
    <mergeCell ref="B49:G49"/>
    <mergeCell ref="A52:G52"/>
    <mergeCell ref="A4:G4"/>
    <mergeCell ref="A5:G5"/>
    <mergeCell ref="B42:G42"/>
    <mergeCell ref="B43:G43"/>
    <mergeCell ref="B44:G44"/>
    <mergeCell ref="B45:G45"/>
    <mergeCell ref="B46:G4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2.0"/>
    <col customWidth="1" min="3" max="7" width="14.0"/>
    <col customWidth="1" min="8" max="26" width="8.71"/>
  </cols>
  <sheetData>
    <row r="1" ht="15.0" customHeight="1">
      <c r="A1" s="69" t="s">
        <v>104</v>
      </c>
      <c r="B1" s="2"/>
      <c r="C1" s="2"/>
      <c r="D1" s="2"/>
      <c r="E1" s="2"/>
      <c r="F1" s="70"/>
      <c r="G1" s="2"/>
    </row>
    <row r="2" ht="15.0" customHeight="1">
      <c r="A2" s="71"/>
      <c r="B2" s="2"/>
      <c r="C2" s="2"/>
      <c r="D2" s="2"/>
      <c r="E2" s="2"/>
      <c r="F2" s="2"/>
      <c r="G2" s="2"/>
    </row>
    <row r="3" ht="15.0" customHeight="1">
      <c r="A3" s="71"/>
      <c r="B3" s="2"/>
      <c r="C3" s="2"/>
      <c r="D3" s="2"/>
      <c r="E3" s="2"/>
      <c r="F3" s="2"/>
      <c r="G3" s="2"/>
    </row>
    <row r="4" ht="15.0" customHeight="1">
      <c r="A4" s="72" t="s">
        <v>107</v>
      </c>
      <c r="B4" s="2"/>
      <c r="C4" s="2"/>
      <c r="D4" s="2"/>
      <c r="E4" s="2"/>
      <c r="F4" s="73" t="s">
        <v>108</v>
      </c>
      <c r="G4" s="2"/>
    </row>
    <row r="5">
      <c r="A5" s="2"/>
      <c r="B5" s="2"/>
      <c r="C5" s="2"/>
      <c r="D5" s="2"/>
      <c r="E5" s="2"/>
      <c r="F5" s="2"/>
      <c r="G5" s="2"/>
    </row>
    <row r="6" ht="15.0" customHeight="1">
      <c r="A6" s="74" t="s">
        <v>850</v>
      </c>
      <c r="B6" s="25"/>
      <c r="C6" s="25"/>
      <c r="D6" s="25"/>
      <c r="E6" s="25"/>
      <c r="F6" s="25"/>
      <c r="G6" s="6"/>
    </row>
    <row r="7" ht="15.0" customHeight="1">
      <c r="A7" s="97" t="s">
        <v>851</v>
      </c>
      <c r="B7" s="25"/>
      <c r="C7" s="25"/>
      <c r="D7" s="25"/>
      <c r="E7" s="25"/>
      <c r="F7" s="25"/>
      <c r="G7" s="6"/>
    </row>
    <row r="8">
      <c r="A8" s="2"/>
      <c r="B8" s="2"/>
      <c r="C8" s="2"/>
      <c r="D8" s="2"/>
      <c r="E8" s="2"/>
      <c r="F8" s="2"/>
      <c r="G8" s="2"/>
    </row>
    <row r="9" ht="15.0" customHeight="1">
      <c r="A9" s="2"/>
      <c r="B9" s="87" t="s">
        <v>852</v>
      </c>
      <c r="C9" s="78">
        <f>'Production Budget'!F263</f>
        <v>6047850.288</v>
      </c>
      <c r="D9" s="2"/>
      <c r="E9" s="2"/>
      <c r="F9" s="2"/>
      <c r="G9" s="2"/>
    </row>
    <row r="10" ht="15.0" customHeight="1">
      <c r="A10" s="2"/>
      <c r="B10" s="87" t="s">
        <v>853</v>
      </c>
      <c r="C10" s="78">
        <f>'Weekly Operating'!F124</f>
        <v>135757</v>
      </c>
      <c r="D10" s="2"/>
      <c r="E10" s="2"/>
      <c r="F10" s="2"/>
      <c r="G10" s="2"/>
    </row>
    <row r="11" ht="15.0" customHeight="1">
      <c r="A11" s="2"/>
      <c r="B11" s="87" t="s">
        <v>133</v>
      </c>
      <c r="C11" s="78">
        <f>'Seating Plan'!F26</f>
        <v>163000</v>
      </c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 ht="15.0" customHeight="1">
      <c r="A13" s="2"/>
      <c r="B13" s="110" t="s">
        <v>825</v>
      </c>
      <c r="C13" s="111" t="s">
        <v>854</v>
      </c>
      <c r="D13" s="111" t="s">
        <v>855</v>
      </c>
      <c r="E13" s="111" t="s">
        <v>856</v>
      </c>
      <c r="F13" s="111" t="s">
        <v>38</v>
      </c>
      <c r="G13" s="111" t="s">
        <v>857</v>
      </c>
    </row>
    <row r="14" ht="15.0" customHeight="1">
      <c r="A14" s="2"/>
      <c r="B14" s="77" t="s">
        <v>828</v>
      </c>
      <c r="C14" s="83">
        <f>C11*1.1</f>
        <v>179300</v>
      </c>
      <c r="D14" s="83">
        <f>(C10-0.03*C11)+0.03*C14</f>
        <v>136246</v>
      </c>
      <c r="E14" s="83">
        <f>C14+('Seating Plan'!G57*1.1)-D14</f>
        <v>61567</v>
      </c>
      <c r="F14" s="85">
        <f>IF(E14&gt;0,C9/E14,"—")</f>
        <v>98.23201208</v>
      </c>
      <c r="G14" s="85">
        <f t="shared" ref="G14:G26" si="1">IF(E14&gt;0,F14/4.33,"—")</f>
        <v>22.68637692</v>
      </c>
    </row>
    <row r="15" ht="15.0" customHeight="1">
      <c r="A15" s="2"/>
      <c r="B15" s="77" t="s">
        <v>33</v>
      </c>
      <c r="C15" s="83">
        <f>C11*1</f>
        <v>163000</v>
      </c>
      <c r="D15" s="83">
        <f>(C10-0.03*C11)+0.03*C15</f>
        <v>135757</v>
      </c>
      <c r="E15" s="83">
        <f>C15+('Seating Plan'!G57*1)-D15</f>
        <v>44073</v>
      </c>
      <c r="F15" s="85">
        <f>IF(E15&gt;0,C9/E15,"—")</f>
        <v>137.2234767</v>
      </c>
      <c r="G15" s="85">
        <f t="shared" si="1"/>
        <v>31.69133411</v>
      </c>
    </row>
    <row r="16" ht="15.0" customHeight="1">
      <c r="A16" s="2"/>
      <c r="B16" s="77" t="s">
        <v>858</v>
      </c>
      <c r="C16" s="83">
        <f>C11*0.95</f>
        <v>154850</v>
      </c>
      <c r="D16" s="83">
        <f>(C10-0.03*C11)+0.03*C16</f>
        <v>135512.5</v>
      </c>
      <c r="E16" s="83">
        <f>C16+('Seating Plan'!G57*0.95)-D16</f>
        <v>35326</v>
      </c>
      <c r="F16" s="85">
        <f>IF(E16&gt;0,C9/E16,"—")</f>
        <v>171.2011065</v>
      </c>
      <c r="G16" s="85">
        <f t="shared" si="1"/>
        <v>39.53836178</v>
      </c>
    </row>
    <row r="17" ht="15.0" customHeight="1">
      <c r="A17" s="2"/>
      <c r="B17" s="77" t="s">
        <v>34</v>
      </c>
      <c r="C17" s="83">
        <f>C11*0.9</f>
        <v>146700</v>
      </c>
      <c r="D17" s="83">
        <f>(C10-0.03*C11)+0.03*C17</f>
        <v>135268</v>
      </c>
      <c r="E17" s="83">
        <f>C17+('Seating Plan'!G57*0.9)-D17</f>
        <v>26579</v>
      </c>
      <c r="F17" s="85">
        <f>IF(E17&gt;0,C9/E17,"—")</f>
        <v>227.5424315</v>
      </c>
      <c r="G17" s="85">
        <f t="shared" si="1"/>
        <v>52.55021514</v>
      </c>
    </row>
    <row r="18" ht="15.0" customHeight="1">
      <c r="A18" s="2"/>
      <c r="B18" s="77" t="s">
        <v>83</v>
      </c>
      <c r="C18" s="83">
        <f>C11*0.85</f>
        <v>138550</v>
      </c>
      <c r="D18" s="83">
        <f>(C10-0.03*C11)+0.03*C18</f>
        <v>135023.5</v>
      </c>
      <c r="E18" s="83">
        <f>C18+('Seating Plan'!G57*0.85)-D18</f>
        <v>17832</v>
      </c>
      <c r="F18" s="85">
        <f>IF(E18&gt;0,C9/E18,"—")</f>
        <v>339.1571494</v>
      </c>
      <c r="G18" s="85">
        <f t="shared" si="1"/>
        <v>78.32728623</v>
      </c>
    </row>
    <row r="19" ht="15.0" customHeight="1">
      <c r="A19" s="2"/>
      <c r="B19" s="77" t="s">
        <v>35</v>
      </c>
      <c r="C19" s="83">
        <f>C11*0.8</f>
        <v>130400</v>
      </c>
      <c r="D19" s="83">
        <f>(C10-0.03*C11)+0.03*C19</f>
        <v>134779</v>
      </c>
      <c r="E19" s="83">
        <f>C19+('Seating Plan'!G57*0.8)-D19</f>
        <v>9085</v>
      </c>
      <c r="F19" s="85">
        <f>IF(E19&gt;0,C9/E19,"—")</f>
        <v>665.6962342</v>
      </c>
      <c r="G19" s="85">
        <f t="shared" si="1"/>
        <v>153.7404698</v>
      </c>
    </row>
    <row r="20" ht="15.0" customHeight="1">
      <c r="A20" s="2"/>
      <c r="B20" s="77" t="s">
        <v>36</v>
      </c>
      <c r="C20" s="83">
        <f>C11*0.75</f>
        <v>122250</v>
      </c>
      <c r="D20" s="83">
        <f>(C10-0.03*C11)+0.03*C20</f>
        <v>134534.5</v>
      </c>
      <c r="E20" s="83">
        <f>C20+('Seating Plan'!G57*0.75)-D20</f>
        <v>338</v>
      </c>
      <c r="F20" s="85">
        <f>IF(E20&gt;0,C9/E20,"—")</f>
        <v>17893.04819</v>
      </c>
      <c r="G20" s="85">
        <f t="shared" si="1"/>
        <v>4132.343693</v>
      </c>
    </row>
    <row r="21" ht="15.0" customHeight="1">
      <c r="A21" s="2"/>
      <c r="B21" s="77" t="s">
        <v>84</v>
      </c>
      <c r="C21" s="83">
        <f>C11*0.7</f>
        <v>114100</v>
      </c>
      <c r="D21" s="83">
        <f>(C10-0.03*C11)+0.03*C21</f>
        <v>134290</v>
      </c>
      <c r="E21" s="83">
        <f>C21+('Seating Plan'!G57*0.7)-D21</f>
        <v>-8409</v>
      </c>
      <c r="F21" s="85" t="str">
        <f>IF(E21&gt;0,C9/E21,"—")</f>
        <v>—</v>
      </c>
      <c r="G21" s="85" t="str">
        <f t="shared" si="1"/>
        <v>—</v>
      </c>
    </row>
    <row r="22" ht="15.0" customHeight="1">
      <c r="A22" s="2"/>
      <c r="B22" s="77" t="s">
        <v>85</v>
      </c>
      <c r="C22" s="83">
        <f>C11*0.65</f>
        <v>105950</v>
      </c>
      <c r="D22" s="83">
        <f>(C10-0.03*C11)+0.03*C22</f>
        <v>134045.5</v>
      </c>
      <c r="E22" s="83">
        <f>C22+('Seating Plan'!G57*0.65)-D22</f>
        <v>-17156</v>
      </c>
      <c r="F22" s="85" t="str">
        <f>IF(E22&gt;0,C9/E22,"—")</f>
        <v>—</v>
      </c>
      <c r="G22" s="85" t="str">
        <f t="shared" si="1"/>
        <v>—</v>
      </c>
    </row>
    <row r="23" ht="15.0" customHeight="1">
      <c r="A23" s="2"/>
      <c r="B23" s="77" t="s">
        <v>829</v>
      </c>
      <c r="C23" s="83">
        <f>C11*0.6</f>
        <v>97800</v>
      </c>
      <c r="D23" s="83">
        <f>(C10-0.03*C11)+0.03*C23</f>
        <v>133801</v>
      </c>
      <c r="E23" s="83">
        <f>C23+('Seating Plan'!G57*0.6)-D23</f>
        <v>-25903</v>
      </c>
      <c r="F23" s="85" t="str">
        <f>IF(E23&gt;0,C9/E23,"—")</f>
        <v>—</v>
      </c>
      <c r="G23" s="85" t="str">
        <f t="shared" si="1"/>
        <v>—</v>
      </c>
    </row>
    <row r="24" ht="15.0" customHeight="1">
      <c r="A24" s="2"/>
      <c r="B24" s="77" t="s">
        <v>859</v>
      </c>
      <c r="C24" s="83">
        <f>C11*0.55</f>
        <v>89650</v>
      </c>
      <c r="D24" s="83">
        <f>(C10-0.03*C11)+0.03*C24</f>
        <v>133556.5</v>
      </c>
      <c r="E24" s="83">
        <f>C24+('Seating Plan'!G57*0.55)-D24</f>
        <v>-34650</v>
      </c>
      <c r="F24" s="85" t="str">
        <f>IF(E24&gt;0,C9/E24,"—")</f>
        <v>—</v>
      </c>
      <c r="G24" s="85" t="str">
        <f t="shared" si="1"/>
        <v>—</v>
      </c>
    </row>
    <row r="25" ht="15.0" customHeight="1">
      <c r="A25" s="2"/>
      <c r="B25" s="77" t="s">
        <v>830</v>
      </c>
      <c r="C25" s="83">
        <f>C11*0.5</f>
        <v>81500</v>
      </c>
      <c r="D25" s="83">
        <f>(C10-0.03*C11)+0.03*C25</f>
        <v>133312</v>
      </c>
      <c r="E25" s="83">
        <f>C25+('Seating Plan'!G57*0.5)-D25</f>
        <v>-43397</v>
      </c>
      <c r="F25" s="85" t="str">
        <f>IF(E25&gt;0,C9/E25,"—")</f>
        <v>—</v>
      </c>
      <c r="G25" s="85" t="str">
        <f t="shared" si="1"/>
        <v>—</v>
      </c>
    </row>
    <row r="26" ht="15.0" customHeight="1">
      <c r="A26" s="2"/>
      <c r="B26" s="77" t="s">
        <v>860</v>
      </c>
      <c r="C26" s="83">
        <f>C11*0.45</f>
        <v>73350</v>
      </c>
      <c r="D26" s="83">
        <f>(C10-0.03*C11)+0.03*C26</f>
        <v>133067.5</v>
      </c>
      <c r="E26" s="83">
        <f>C26+('Seating Plan'!G57*0.45)-D26</f>
        <v>-52144</v>
      </c>
      <c r="F26" s="85" t="str">
        <f>IF(E26&gt;0,C9/E26,"—")</f>
        <v>—</v>
      </c>
      <c r="G26" s="85" t="str">
        <f t="shared" si="1"/>
        <v>—</v>
      </c>
    </row>
    <row r="27" ht="15.75" customHeight="1">
      <c r="A27" s="2"/>
      <c r="B27" s="2"/>
      <c r="C27" s="2"/>
      <c r="D27" s="2"/>
      <c r="E27" s="2"/>
      <c r="F27" s="2"/>
      <c r="G27" s="2"/>
    </row>
    <row r="28" ht="15.0" customHeight="1">
      <c r="A28" s="2"/>
      <c r="B28" s="87" t="s">
        <v>861</v>
      </c>
      <c r="C28" s="114">
        <f>('Weekly Operating'!F124-0.03*'Seating Plan'!F26)/(0.97*'Seating Plan'!F26+'Seating Plan'!G57)</f>
        <v>0.748067909</v>
      </c>
      <c r="D28" s="2"/>
      <c r="E28" s="2"/>
      <c r="F28" s="2"/>
      <c r="G28" s="2"/>
    </row>
    <row r="29" ht="15.0" customHeight="1">
      <c r="A29" s="2"/>
      <c r="B29" s="77" t="s">
        <v>862</v>
      </c>
      <c r="C29" s="83">
        <f>C28*C11</f>
        <v>121935.0692</v>
      </c>
      <c r="D29" s="2"/>
      <c r="E29" s="2"/>
      <c r="F29" s="2"/>
      <c r="G29" s="2"/>
    </row>
    <row r="30" ht="15.0" customHeight="1">
      <c r="A30" s="2"/>
      <c r="B30" s="77" t="s">
        <v>863</v>
      </c>
      <c r="C30" s="85">
        <f>C28*150</f>
        <v>112.2101863</v>
      </c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0" customHeight="1">
      <c r="A32" s="2"/>
      <c r="B32" s="92" t="s">
        <v>864</v>
      </c>
      <c r="C32" s="2"/>
      <c r="D32" s="2"/>
      <c r="E32" s="2"/>
      <c r="F32" s="2"/>
      <c r="G32" s="2"/>
    </row>
    <row r="33" ht="15.0" customHeight="1">
      <c r="A33" s="2"/>
      <c r="B33" s="108" t="s">
        <v>865</v>
      </c>
    </row>
    <row r="34" ht="15.0" customHeight="1">
      <c r="A34" s="2"/>
      <c r="B34" s="91" t="s">
        <v>866</v>
      </c>
    </row>
    <row r="35" ht="15.0" customHeight="1">
      <c r="A35" s="2"/>
      <c r="B35" s="91" t="s">
        <v>867</v>
      </c>
    </row>
    <row r="36" ht="15.0" customHeight="1">
      <c r="A36" s="2"/>
      <c r="B36" s="91" t="s">
        <v>868</v>
      </c>
    </row>
    <row r="37" ht="15.0" customHeight="1">
      <c r="A37" s="2"/>
      <c r="B37" s="91" t="s">
        <v>869</v>
      </c>
    </row>
    <row r="38" ht="15.0" customHeight="1">
      <c r="A38" s="2"/>
      <c r="B38" s="91" t="s">
        <v>870</v>
      </c>
    </row>
    <row r="39" ht="15.75" customHeight="1">
      <c r="A39" s="2"/>
      <c r="B39" s="91" t="s">
        <v>871</v>
      </c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8">
    <mergeCell ref="A6:G6"/>
    <mergeCell ref="A7:G7"/>
    <mergeCell ref="B33:G33"/>
    <mergeCell ref="B34:G34"/>
    <mergeCell ref="B35:G35"/>
    <mergeCell ref="B36:G36"/>
    <mergeCell ref="B37:G37"/>
    <mergeCell ref="B38:G38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7" width="14.0"/>
    <col customWidth="1" min="8" max="26" width="8.71"/>
  </cols>
  <sheetData>
    <row r="1">
      <c r="A1" s="69" t="s">
        <v>104</v>
      </c>
      <c r="F1" s="70"/>
    </row>
    <row r="2">
      <c r="A2" s="71"/>
    </row>
    <row r="3">
      <c r="A3" s="71"/>
    </row>
    <row r="4">
      <c r="A4" s="72" t="s">
        <v>107</v>
      </c>
      <c r="F4" s="73" t="s">
        <v>872</v>
      </c>
    </row>
    <row r="6">
      <c r="A6" s="74" t="s">
        <v>873</v>
      </c>
      <c r="B6" s="25"/>
      <c r="C6" s="25"/>
      <c r="D6" s="25"/>
      <c r="E6" s="25"/>
      <c r="F6" s="25"/>
      <c r="G6" s="6"/>
    </row>
    <row r="7">
      <c r="A7" s="97" t="s">
        <v>874</v>
      </c>
      <c r="B7" s="25"/>
      <c r="C7" s="25"/>
      <c r="D7" s="25"/>
      <c r="E7" s="25"/>
      <c r="F7" s="25"/>
      <c r="G7" s="6"/>
    </row>
    <row r="9">
      <c r="A9" s="76" t="s">
        <v>875</v>
      </c>
      <c r="B9" s="25"/>
      <c r="C9" s="25"/>
      <c r="D9" s="25"/>
      <c r="E9" s="25"/>
      <c r="F9" s="25"/>
      <c r="G9" s="6"/>
    </row>
    <row r="10" ht="15.0" customHeight="1">
      <c r="B10" s="115" t="s">
        <v>876</v>
      </c>
    </row>
    <row r="11" ht="15.0" customHeight="1">
      <c r="B11" s="115" t="s">
        <v>877</v>
      </c>
    </row>
    <row r="13">
      <c r="A13" s="76" t="s">
        <v>878</v>
      </c>
      <c r="B13" s="25"/>
      <c r="C13" s="25"/>
      <c r="D13" s="25"/>
      <c r="E13" s="25"/>
      <c r="F13" s="25"/>
      <c r="G13" s="6"/>
    </row>
    <row r="14">
      <c r="B14" s="110" t="s">
        <v>879</v>
      </c>
      <c r="C14" s="111" t="s">
        <v>880</v>
      </c>
      <c r="D14" s="111" t="s">
        <v>881</v>
      </c>
      <c r="E14" s="116" t="s">
        <v>141</v>
      </c>
      <c r="F14" s="25"/>
      <c r="G14" s="6"/>
    </row>
    <row r="15" ht="15.0" customHeight="1">
      <c r="B15" s="77" t="s">
        <v>882</v>
      </c>
      <c r="C15" s="96">
        <v>5000.0</v>
      </c>
      <c r="D15" s="96">
        <v>20000.0</v>
      </c>
      <c r="E15" s="108" t="s">
        <v>883</v>
      </c>
    </row>
    <row r="16" ht="15.0" customHeight="1">
      <c r="B16" s="77" t="s">
        <v>884</v>
      </c>
      <c r="C16" s="96">
        <v>8000.0</v>
      </c>
      <c r="D16" s="96">
        <v>15000.0</v>
      </c>
      <c r="E16" s="108" t="s">
        <v>885</v>
      </c>
    </row>
    <row r="17" ht="15.0" customHeight="1">
      <c r="B17" s="77" t="s">
        <v>886</v>
      </c>
      <c r="C17" s="96">
        <v>5000.0</v>
      </c>
      <c r="D17" s="96">
        <v>10000.0</v>
      </c>
      <c r="E17" s="108" t="s">
        <v>887</v>
      </c>
    </row>
    <row r="18" ht="15.0" customHeight="1">
      <c r="B18" s="77" t="s">
        <v>888</v>
      </c>
      <c r="C18" s="96">
        <v>3000.0</v>
      </c>
      <c r="D18" s="96">
        <v>10000.0</v>
      </c>
      <c r="E18" s="108" t="s">
        <v>889</v>
      </c>
    </row>
    <row r="19" ht="15.0" customHeight="1">
      <c r="B19" s="77" t="s">
        <v>890</v>
      </c>
      <c r="C19" s="96">
        <v>10000.0</v>
      </c>
      <c r="D19" s="96">
        <v>18000.0</v>
      </c>
      <c r="E19" s="108" t="s">
        <v>891</v>
      </c>
    </row>
    <row r="20" ht="15.0" customHeight="1">
      <c r="B20" s="77" t="s">
        <v>892</v>
      </c>
      <c r="C20" s="117" t="s">
        <v>893</v>
      </c>
      <c r="D20" s="117" t="s">
        <v>893</v>
      </c>
      <c r="E20" s="108" t="s">
        <v>894</v>
      </c>
    </row>
    <row r="21" ht="15.75" customHeight="1"/>
    <row r="22" ht="15.75" customHeight="1">
      <c r="A22" s="76" t="s">
        <v>895</v>
      </c>
      <c r="B22" s="25"/>
      <c r="C22" s="25"/>
      <c r="D22" s="25"/>
      <c r="E22" s="25"/>
      <c r="F22" s="25"/>
      <c r="G22" s="6"/>
    </row>
    <row r="23" ht="15.75" customHeight="1">
      <c r="B23" s="110" t="s">
        <v>896</v>
      </c>
      <c r="C23" s="111" t="s">
        <v>897</v>
      </c>
      <c r="D23" s="111" t="s">
        <v>898</v>
      </c>
      <c r="E23" s="116" t="s">
        <v>899</v>
      </c>
      <c r="F23" s="25"/>
      <c r="G23" s="6"/>
    </row>
    <row r="24" ht="15.0" customHeight="1">
      <c r="B24" s="77" t="s">
        <v>900</v>
      </c>
      <c r="C24" s="96">
        <v>25000.0</v>
      </c>
      <c r="D24" s="96">
        <v>45000.0</v>
      </c>
      <c r="E24" s="108" t="s">
        <v>901</v>
      </c>
    </row>
    <row r="25" ht="15.0" customHeight="1">
      <c r="B25" s="77" t="s">
        <v>902</v>
      </c>
      <c r="C25" s="96">
        <v>6000.0</v>
      </c>
      <c r="D25" s="96">
        <v>12000.0</v>
      </c>
      <c r="E25" s="108" t="s">
        <v>903</v>
      </c>
    </row>
    <row r="26" ht="15.0" customHeight="1">
      <c r="B26" s="77" t="s">
        <v>904</v>
      </c>
      <c r="C26" s="96">
        <v>8000.0</v>
      </c>
      <c r="D26" s="96">
        <v>18000.0</v>
      </c>
      <c r="E26" s="108" t="s">
        <v>905</v>
      </c>
    </row>
    <row r="27" ht="15.0" customHeight="1">
      <c r="B27" s="77" t="s">
        <v>906</v>
      </c>
      <c r="C27" s="96">
        <v>2000.0</v>
      </c>
      <c r="D27" s="96">
        <v>5000.0</v>
      </c>
      <c r="E27" s="108" t="s">
        <v>907</v>
      </c>
    </row>
    <row r="28" ht="15.75" customHeight="1"/>
    <row r="29" ht="15.75" customHeight="1">
      <c r="A29" s="76" t="s">
        <v>908</v>
      </c>
      <c r="B29" s="25"/>
      <c r="C29" s="25"/>
      <c r="D29" s="25"/>
      <c r="E29" s="25"/>
      <c r="F29" s="25"/>
      <c r="G29" s="6"/>
    </row>
    <row r="30" ht="15.75" customHeight="1">
      <c r="B30" s="110" t="s">
        <v>909</v>
      </c>
      <c r="C30" s="111" t="s">
        <v>910</v>
      </c>
      <c r="D30" s="111" t="s">
        <v>911</v>
      </c>
      <c r="E30" s="111" t="s">
        <v>912</v>
      </c>
      <c r="F30" s="111" t="s">
        <v>913</v>
      </c>
      <c r="G30" s="111" t="s">
        <v>914</v>
      </c>
    </row>
    <row r="31" ht="15.75" customHeight="1">
      <c r="B31" s="77" t="s">
        <v>915</v>
      </c>
      <c r="C31" s="90">
        <v>0.3</v>
      </c>
      <c r="D31" s="96">
        <v>8500.0</v>
      </c>
      <c r="E31" s="83">
        <f t="shared" ref="E31:E33" si="1">210*C31*D31</f>
        <v>535500</v>
      </c>
      <c r="F31" s="83">
        <f t="shared" ref="F31:F33" si="2">E31*0.25</f>
        <v>133875</v>
      </c>
      <c r="G31" s="83">
        <f t="shared" ref="G31:G33" si="3">E31-F31-98000</f>
        <v>303625</v>
      </c>
    </row>
    <row r="32" ht="15.75" customHeight="1">
      <c r="B32" s="77" t="s">
        <v>916</v>
      </c>
      <c r="C32" s="90">
        <v>0.5</v>
      </c>
      <c r="D32" s="96">
        <v>10750.0</v>
      </c>
      <c r="E32" s="83">
        <f t="shared" si="1"/>
        <v>1128750</v>
      </c>
      <c r="F32" s="83">
        <f t="shared" si="2"/>
        <v>282187.5</v>
      </c>
      <c r="G32" s="83">
        <f t="shared" si="3"/>
        <v>748562.5</v>
      </c>
    </row>
    <row r="33" ht="15.75" customHeight="1">
      <c r="B33" s="77" t="s">
        <v>917</v>
      </c>
      <c r="C33" s="90">
        <v>0.65</v>
      </c>
      <c r="D33" s="96">
        <v>13350.0</v>
      </c>
      <c r="E33" s="83">
        <f t="shared" si="1"/>
        <v>1822275</v>
      </c>
      <c r="F33" s="83">
        <f t="shared" si="2"/>
        <v>455568.75</v>
      </c>
      <c r="G33" s="83">
        <f t="shared" si="3"/>
        <v>1268706.25</v>
      </c>
    </row>
    <row r="34" ht="15.75" customHeight="1"/>
    <row r="35" ht="15.75" customHeight="1">
      <c r="A35" s="76" t="s">
        <v>918</v>
      </c>
      <c r="B35" s="25"/>
      <c r="C35" s="25"/>
      <c r="D35" s="25"/>
      <c r="E35" s="25"/>
      <c r="F35" s="25"/>
      <c r="G35" s="6"/>
    </row>
    <row r="36" ht="15.75" customHeight="1">
      <c r="B36" s="92" t="s">
        <v>919</v>
      </c>
      <c r="D36" s="96">
        <v>85000.0</v>
      </c>
      <c r="E36" s="77" t="s">
        <v>920</v>
      </c>
    </row>
    <row r="37" ht="15.0" customHeight="1">
      <c r="B37" s="108" t="s">
        <v>921</v>
      </c>
    </row>
    <row r="38" ht="15.75" customHeight="1"/>
    <row r="39" ht="15.75" customHeight="1">
      <c r="A39" s="76" t="s">
        <v>922</v>
      </c>
      <c r="B39" s="25"/>
      <c r="C39" s="25"/>
      <c r="D39" s="25"/>
      <c r="E39" s="25"/>
      <c r="F39" s="25"/>
      <c r="G39" s="6"/>
    </row>
    <row r="40" ht="15.75" customHeight="1">
      <c r="B40" s="77" t="s">
        <v>923</v>
      </c>
      <c r="D40" s="78">
        <f>'Production Budget'!F263</f>
        <v>6047850.288</v>
      </c>
    </row>
    <row r="41" ht="15.75" customHeight="1">
      <c r="B41" s="77" t="s">
        <v>924</v>
      </c>
      <c r="D41" s="83">
        <f>'Production Budget'!F263*0.55</f>
        <v>3326317.658</v>
      </c>
    </row>
    <row r="42" ht="15.75" customHeight="1"/>
    <row r="43" ht="15.75" customHeight="1">
      <c r="B43" s="77" t="s">
        <v>925</v>
      </c>
      <c r="D43" s="83">
        <f>(('Seating Plan'!F26*0.8)+('Seating Plan'!G57*0.8))-(('Weekly Operating'!F124-0.03*'Seating Plan'!F26)+0.03*0.8*'Seating Plan'!F26)</f>
        <v>9085</v>
      </c>
    </row>
    <row r="44" ht="15.75" customHeight="1">
      <c r="B44" s="92" t="s">
        <v>926</v>
      </c>
    </row>
    <row r="45" ht="15.75" customHeight="1">
      <c r="B45" s="77" t="s">
        <v>927</v>
      </c>
      <c r="D45" s="83">
        <f t="shared" ref="D45:D47" si="4">G31/60</f>
        <v>5060.416667</v>
      </c>
      <c r="F45" s="83">
        <f>D43+D45</f>
        <v>14145.41667</v>
      </c>
      <c r="G45" s="118" t="s">
        <v>928</v>
      </c>
    </row>
    <row r="46" ht="15.75" customHeight="1">
      <c r="B46" s="77" t="s">
        <v>929</v>
      </c>
      <c r="D46" s="83">
        <f t="shared" si="4"/>
        <v>12476.04167</v>
      </c>
      <c r="F46" s="83">
        <f>D43+D46</f>
        <v>21561.04167</v>
      </c>
      <c r="G46" s="118" t="s">
        <v>928</v>
      </c>
    </row>
    <row r="47" ht="15.75" customHeight="1">
      <c r="B47" s="77" t="s">
        <v>930</v>
      </c>
      <c r="D47" s="83">
        <f t="shared" si="4"/>
        <v>21145.10417</v>
      </c>
      <c r="F47" s="83">
        <f>D43+D47</f>
        <v>30230.10417</v>
      </c>
      <c r="G47" s="118" t="s">
        <v>928</v>
      </c>
    </row>
    <row r="48" ht="15.75" customHeight="1"/>
    <row r="49" ht="15.75" customHeight="1">
      <c r="B49" s="92" t="s">
        <v>864</v>
      </c>
    </row>
    <row r="50" ht="15.0" customHeight="1">
      <c r="B50" s="108" t="s">
        <v>931</v>
      </c>
    </row>
    <row r="51" ht="15.0" customHeight="1">
      <c r="B51" s="108" t="s">
        <v>932</v>
      </c>
    </row>
    <row r="52" ht="15.0" customHeight="1">
      <c r="B52" s="108" t="s">
        <v>933</v>
      </c>
    </row>
    <row r="53" ht="15.0" customHeight="1">
      <c r="B53" s="108" t="s">
        <v>934</v>
      </c>
    </row>
    <row r="54" ht="15.0" customHeight="1">
      <c r="B54" s="108" t="s">
        <v>935</v>
      </c>
    </row>
    <row r="55" ht="15.0" customHeight="1">
      <c r="B55" s="108" t="s">
        <v>936</v>
      </c>
    </row>
    <row r="56" ht="15.0" customHeight="1">
      <c r="B56" s="108" t="s">
        <v>937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6:G6"/>
    <mergeCell ref="A7:G7"/>
    <mergeCell ref="A9:G9"/>
    <mergeCell ref="B10:G10"/>
    <mergeCell ref="B11:G11"/>
    <mergeCell ref="A13:G13"/>
    <mergeCell ref="E14:G14"/>
    <mergeCell ref="E15:G15"/>
    <mergeCell ref="E16:G16"/>
    <mergeCell ref="E17:G17"/>
    <mergeCell ref="E18:G18"/>
    <mergeCell ref="E19:G19"/>
    <mergeCell ref="E20:G20"/>
    <mergeCell ref="A22:G22"/>
    <mergeCell ref="E23:G23"/>
    <mergeCell ref="E24:G24"/>
    <mergeCell ref="E25:G25"/>
    <mergeCell ref="E26:G26"/>
    <mergeCell ref="E27:G27"/>
    <mergeCell ref="A29:G29"/>
    <mergeCell ref="A35:G35"/>
    <mergeCell ref="B55:G55"/>
    <mergeCell ref="B56:G56"/>
    <mergeCell ref="B37:G37"/>
    <mergeCell ref="A39:G39"/>
    <mergeCell ref="B50:G50"/>
    <mergeCell ref="B51:G51"/>
    <mergeCell ref="B52:G52"/>
    <mergeCell ref="B53:G53"/>
    <mergeCell ref="B54:G54"/>
  </mergeCells>
  <printOptions/>
  <pageMargins bottom="1.0" footer="0.0" header="0.0" left="0.75" right="0.75" top="1.0"/>
  <pageSetup paperSize="9" orientation="portrait"/>
  <drawing r:id="rId1"/>
</worksheet>
</file>