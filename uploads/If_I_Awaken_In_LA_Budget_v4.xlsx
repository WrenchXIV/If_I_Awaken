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Exec One-Pager" sheetId="1" state="visible" r:id="rId3"/>
    <sheet name="2. Investor Summary" sheetId="2" state="visible" r:id="rId4"/>
    <sheet name="3. Pitch Deck" sheetId="3" state="visible" r:id="rId5"/>
    <sheet name="Summary" sheetId="4" state="visible" r:id="rId6"/>
    <sheet name="Assumptions" sheetId="5" state="visible" r:id="rId7"/>
    <sheet name="Production Budget" sheetId="6" state="visible" r:id="rId8"/>
    <sheet name="Weekly Operating" sheetId="7" state="visible" r:id="rId9"/>
    <sheet name="Seating Plan" sheetId="8" state="visible" r:id="rId10"/>
    <sheet name="Recoupment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<sst xmlns="http://schemas.openxmlformats.org/spreadsheetml/2006/main" count="1036" uniqueCount="873">
  <si>
    <t xml:space="preserve">IF I AWAKEN IN LOS ANGELES</t>
  </si>
  <si>
    <t xml:space="preserve">Immersive theatre · 30,100 sq ft · 150-cap · 60-week Los Angeles run</t>
  </si>
  <si>
    <t xml:space="preserve">THE ASK</t>
  </si>
  <si>
    <t xml:space="preserve">KEY METRICS</t>
  </si>
  <si>
    <t xml:space="preserve">Weekly Gross Potential (100%)</t>
  </si>
  <si>
    <t xml:space="preserve">Weekly Operating Cost</t>
  </si>
  <si>
    <t xml:space="preserve">Weekly Contribution @ 100%</t>
  </si>
  <si>
    <t xml:space="preserve">Total Capitalization Required</t>
  </si>
  <si>
    <t xml:space="preserve">Breakeven Capacity</t>
  </si>
  <si>
    <t xml:space="preserve">Avg Ticket Price (weighted)</t>
  </si>
  <si>
    <t xml:space="preserve">CAPITALIZATION BREAKDOWN</t>
  </si>
  <si>
    <t xml:space="preserve">WEEKLY OPERATING COSTS</t>
  </si>
  <si>
    <t xml:space="preserve">Scenic / Physical Production</t>
  </si>
  <si>
    <t xml:space="preserve">Physical Maintenance</t>
  </si>
  <si>
    <t xml:space="preserve">Creative &amp; Management Fees</t>
  </si>
  <si>
    <t xml:space="preserve">Fees (GM, PR, Marketing, Legal)</t>
  </si>
  <si>
    <t xml:space="preserve">Pre-Opening Salaries</t>
  </si>
  <si>
    <t xml:space="preserve">Weekly Salaries (all staff)</t>
  </si>
  <si>
    <t xml:space="preserve">Casting &amp; Rehearsal</t>
  </si>
  <si>
    <t xml:space="preserve">Weekly Advertising</t>
  </si>
  <si>
    <t xml:space="preserve">Music</t>
  </si>
  <si>
    <t xml:space="preserve">Venue &amp; Tech (rent, utilities, CC)</t>
  </si>
  <si>
    <t xml:space="preserve">Advertising &amp; Launch</t>
  </si>
  <si>
    <t xml:space="preserve">General &amp; Administrative</t>
  </si>
  <si>
    <t xml:space="preserve">Venue Load-In &amp; Tech Labor</t>
  </si>
  <si>
    <t xml:space="preserve">Developmental</t>
  </si>
  <si>
    <t xml:space="preserve">TOTAL WEEKLY OPERATING</t>
  </si>
  <si>
    <t xml:space="preserve">Subtotal: Production Costs</t>
  </si>
  <si>
    <t xml:space="preserve">Bonds, Deposits, Advances</t>
  </si>
  <si>
    <t xml:space="preserve">Reserve &amp; 10% Contingency</t>
  </si>
  <si>
    <t xml:space="preserve">TOTAL CAPITALIZATION</t>
  </si>
  <si>
    <t xml:space="preserve">RECOUPMENT AT CAPACITY SCENARIOS</t>
  </si>
  <si>
    <t xml:space="preserve">Capacity</t>
  </si>
  <si>
    <t xml:space="preserve">100%</t>
  </si>
  <si>
    <t xml:space="preserve">90%</t>
  </si>
  <si>
    <t xml:space="preserve">80%</t>
  </si>
  <si>
    <t xml:space="preserve">75%</t>
  </si>
  <si>
    <t xml:space="preserve">70%</t>
  </si>
  <si>
    <t xml:space="preserve">Weekly Contribution</t>
  </si>
  <si>
    <t xml:space="preserve">Weeks to Recoup</t>
  </si>
  <si>
    <t xml:space="preserve">Run length: 60 performance weeks. 12 shows/week at 150 capacity. Tiered pricing with community-access tier on every performance.</t>
  </si>
  <si>
    <t xml:space="preserve">Not modeled: bar + gift shop + concessions revenue — conservatively adds 15–25% to weekly gross.</t>
  </si>
  <si>
    <t xml:space="preserve">Investor Summary · Confidential</t>
  </si>
  <si>
    <t xml:space="preserve">THE OPPORTUNITY</t>
  </si>
  <si>
    <t xml:space="preserve">An immersive theatrical journey through six LA neighborhoods in a transformed 30,100 sq ft warehouse.</t>
  </si>
  <si>
    <t xml:space="preserve">Written and scored by Derrick Hodge (Grammy winner). Directed by Andrew Scoville (Here Lies Love Associate;</t>
  </si>
  <si>
    <t xml:space="preserve">Theater of the Mind; Money Heist: The Experience NYC). Pilot at The Ford in August 2025 sold out (1,000+ attended).</t>
  </si>
  <si>
    <t xml:space="preserve">60-week run June 2026–August 2027. 12 shows/week. 150-capacity per show.</t>
  </si>
  <si>
    <t xml:space="preserve">Total Capitalization</t>
  </si>
  <si>
    <t xml:space="preserve">Investor Tier (55%)</t>
  </si>
  <si>
    <t xml:space="preserve">Weekly Gross Potential</t>
  </si>
  <si>
    <t xml:space="preserve">USE OF FUNDS</t>
  </si>
  <si>
    <t xml:space="preserve">Category</t>
  </si>
  <si>
    <t xml:space="preserve">Amount</t>
  </si>
  <si>
    <t xml:space="preserve">% of Total</t>
  </si>
  <si>
    <t xml:space="preserve">What it covers</t>
  </si>
  <si>
    <t xml:space="preserve">Build-out &amp; Physical Production</t>
  </si>
  <si>
    <t xml:space="preserve">Scenic for 6 environments, LED wall, sound/lighting install, lobby bar/shop, exterior mural</t>
  </si>
  <si>
    <t xml:space="preserve">Director, writer, designers, producers, GM, production manager, union benefits</t>
  </si>
  <si>
    <t xml:space="preserve">6-week rehearsal+tech+preview period: cast, musicians, SMs, crew</t>
  </si>
  <si>
    <t xml:space="preserve">Launch Marketing &amp; Press</t>
  </si>
  <si>
    <t xml:space="preserve">Pre-opening ad spend, PR, opening night, community partner outreach</t>
  </si>
  <si>
    <t xml:space="preserve">Load-In Labor &amp; Venue</t>
  </si>
  <si>
    <t xml:space="preserve">Scenic/electrics/audio load-in, 3-month pre-opening warehouse rent</t>
  </si>
  <si>
    <t xml:space="preserve">Casting, Music, Development</t>
  </si>
  <si>
    <t xml:space="preserve">Audition space, re-orch, music copying, site-specific R&amp;D</t>
  </si>
  <si>
    <t xml:space="preserve">G&amp;A, Legal, Insurance</t>
  </si>
  <si>
    <t xml:space="preserve">LLC formation, immersive insurance, accounting, travel/housing</t>
  </si>
  <si>
    <t xml:space="preserve">AEA/AFM/SDC/USA bonds, LED vendor deposit, creative advances</t>
  </si>
  <si>
    <t xml:space="preserve">Reserve (2-wk preview + 10% contingency)</t>
  </si>
  <si>
    <t xml:space="preserve">Operating reserve and overrun protection</t>
  </si>
  <si>
    <t xml:space="preserve">CAPITALIZATION STRUCTURE (Recommended)</t>
  </si>
  <si>
    <t xml:space="preserve">Source</t>
  </si>
  <si>
    <t xml:space="preserve">%</t>
  </si>
  <si>
    <t xml:space="preserve">Recoupment</t>
  </si>
  <si>
    <t xml:space="preserve">Investor Capital</t>
  </si>
  <si>
    <t xml:space="preserve">Recoupable: 120% + 50% profit share post-recoupment</t>
  </si>
  <si>
    <t xml:space="preserve">Institutional Grants (NEA, Mellon, LADF)</t>
  </si>
  <si>
    <t xml:space="preserve">Non-recoupable (mission-aligned)</t>
  </si>
  <si>
    <t xml:space="preserve">Individual Philanthropy / Major Gifts</t>
  </si>
  <si>
    <t xml:space="preserve">Non-recoupable (named sponsorships)</t>
  </si>
  <si>
    <t xml:space="preserve">Community / Earned (memberships, crowdfunding)</t>
  </si>
  <si>
    <t xml:space="preserve">Non-recoupable</t>
  </si>
  <si>
    <t xml:space="preserve">INVESTOR RETURN SCENARIOS</t>
  </si>
  <si>
    <t xml:space="preserve">Avg Capacity</t>
  </si>
  <si>
    <t xml:space="preserve">Investor Recoup*</t>
  </si>
  <si>
    <t xml:space="preserve">Within 60-Wk Run?</t>
  </si>
  <si>
    <t xml:space="preserve">85%</t>
  </si>
  <si>
    <t xml:space="preserve">65%</t>
  </si>
  <si>
    <t xml:space="preserve">*Investor Recoup column = weeks to recoup 55% investor tier only. Grants/philanthropy tiers are non-recoupable.</t>
  </si>
  <si>
    <t xml:space="preserve">KEY RISK FACTORS</t>
  </si>
  <si>
    <t xml:space="preserve">• Breakeven requires ~86% average capacity — tight for a new immersive, though pilot oversold indicates strong demand.</t>
  </si>
  <si>
    <t xml:space="preserve">• Venue permitting in LA for 30K sq ft assembly-use is variable; budgeted conservatively, real cost may run $150K-$300K.</t>
  </si>
  <si>
    <t xml:space="preserve">• Immersive insurance + participant liability is premium; costs locked at $65K but could increase if claims arise.</t>
  </si>
  <si>
    <t xml:space="preserve">• LED wall purchase vs. rent: capital-intensive but breaks even vs. rental at ~8 months. Resale/reuse value after run.</t>
  </si>
  <si>
    <t xml:space="preserve">• Upside NOT modeled: bar, gift shop, concessions, merchandise — conservatively +15-25% to weekly revenue.</t>
  </si>
  <si>
    <t xml:space="preserve">• Derrick Hodge score composition rights are owned by production (no royalty obligation).</t>
  </si>
  <si>
    <t xml:space="preserve">Budget at a Glance</t>
  </si>
  <si>
    <t xml:space="preserve">CAPITALIZATION</t>
  </si>
  <si>
    <t xml:space="preserve">WEEKLY GROSS POTENTIAL</t>
  </si>
  <si>
    <t xml:space="preserve">RUN LENGTH</t>
  </si>
  <si>
    <t xml:space="preserve">SHOWS PER WEEK</t>
  </si>
  <si>
    <t xml:space="preserve">"60 weeks"</t>
  </si>
  <si>
    <t xml:space="preserve">VENUE SIZE</t>
  </si>
  <si>
    <t xml:space="preserve">SEATS PER SHOW</t>
  </si>
  <si>
    <t xml:space="preserve">"30,100 sq ft"</t>
  </si>
  <si>
    <t xml:space="preserve">WHERE THE MONEY GOES</t>
  </si>
  <si>
    <t xml:space="preserve">Share</t>
  </si>
  <si>
    <t xml:space="preserve">Build &amp; Physical Production</t>
  </si>
  <si>
    <t xml:space="preserve">People (Fees + Salaries)</t>
  </si>
  <si>
    <t xml:space="preserve">Marketing &amp; Launch</t>
  </si>
  <si>
    <t xml:space="preserve">G&amp;A, Bonds, Reserve</t>
  </si>
  <si>
    <t xml:space="preserve">TOTAL</t>
  </si>
  <si>
    <t xml:space="preserve">60-week run · 12 shows/week · Tiered pricing with community access on every performance</t>
  </si>
  <si>
    <t xml:space="preserve">NOT FOR DISTRIBUTION</t>
  </si>
  <si>
    <t xml:space="preserve">Brooklyn College THEA 7612X</t>
  </si>
  <si>
    <t xml:space="preserve">Get Lit Collective / If I Awaken Productions</t>
  </si>
  <si>
    <t xml:space="preserve">Los Angeles, CA  |  info@ifiawaken.com</t>
  </si>
  <si>
    <t xml:space="preserve">CONFIDENTIAL</t>
  </si>
  <si>
    <t xml:space="preserve">as of: 4/20/26</t>
  </si>
  <si>
    <t xml:space="preserve">IMMERSIVE THEATRE  ·  LOS ANGELES  ·  BUDGET SUMMARY  ·  v2 (no royalties)</t>
  </si>
  <si>
    <t xml:space="preserve">PRODUCTION COSTS (CAPITALIZATION)</t>
  </si>
  <si>
    <t xml:space="preserve">(100) PHYSICAL</t>
  </si>
  <si>
    <t xml:space="preserve">(200) FIXED FEES</t>
  </si>
  <si>
    <t xml:space="preserve">(300) SALARIES (Pre-Opening)</t>
  </si>
  <si>
    <t xml:space="preserve">(400) CASTING / REHEARSAL EXPENSES</t>
  </si>
  <si>
    <t xml:space="preserve">(500) MUSIC EXPENSES</t>
  </si>
  <si>
    <t xml:space="preserve">(600) ADVERTISING &amp; PROMOTION</t>
  </si>
  <si>
    <t xml:space="preserve">(700) VENUE &amp; TECH (Load-In)</t>
  </si>
  <si>
    <t xml:space="preserve">(800) GENERAL &amp; ADMINISTRATIVE</t>
  </si>
  <si>
    <t xml:space="preserve">(900) DEVELOPMENTAL</t>
  </si>
  <si>
    <t xml:space="preserve">SUBTOTAL PRODUCTION COSTS:</t>
  </si>
  <si>
    <t xml:space="preserve">(950) BONDS, DEPOSITS, ADVANCES</t>
  </si>
  <si>
    <t xml:space="preserve">(1000) CONTINGENCY &amp; RESERVE</t>
  </si>
  <si>
    <t xml:space="preserve">TOTAL CAPITALIZATION:</t>
  </si>
  <si>
    <t xml:space="preserve">WEEKLY OPERATING COSTS (NO ROYALTIES)</t>
  </si>
  <si>
    <t xml:space="preserve">(1100) PHYSICAL MAINTENANCE</t>
  </si>
  <si>
    <t xml:space="preserve">(1200) FEES (WEEKLY)</t>
  </si>
  <si>
    <t xml:space="preserve">(1300) SALARIES (incl. Director + Writer)</t>
  </si>
  <si>
    <t xml:space="preserve">(1400) ADVERTISING</t>
  </si>
  <si>
    <t xml:space="preserve">(1500) VENUE &amp; TECH</t>
  </si>
  <si>
    <t xml:space="preserve">(1600) GENERAL &amp; ADMIN</t>
  </si>
  <si>
    <t xml:space="preserve">TOTAL WEEKLY OPERATING:</t>
  </si>
  <si>
    <t xml:space="preserve">WEEKLY GROSS POTENTIAL &amp; KEY METRICS</t>
  </si>
  <si>
    <t xml:space="preserve">Weekly Gross Potential (100%):</t>
  </si>
  <si>
    <t xml:space="preserve">Weekly Contribution (100% cap):</t>
  </si>
  <si>
    <t xml:space="preserve">Weekly Contribution (80% cap est.):</t>
  </si>
  <si>
    <t xml:space="preserve">Breakeven Capacity:</t>
  </si>
  <si>
    <t xml:space="preserve">Weeks to Recoup @ 80% Capacity:</t>
  </si>
  <si>
    <t xml:space="preserve">RECOMMENDED CAPITALIZATION STRUCTURE</t>
  </si>
  <si>
    <t xml:space="preserve">Notes</t>
  </si>
  <si>
    <t xml:space="preserve">Investor Capital (recoupable + profit share)</t>
  </si>
  <si>
    <t xml:space="preserve">120% recoupment + 50% profits post-recoup (despite no royalties, investors still get profit share).</t>
  </si>
  <si>
    <t xml:space="preserve">Mission-aligned arts funding — no recoupment obligation.</t>
  </si>
  <si>
    <t xml:space="preserve">Named sponsorships (spaces, programming) — no recoupment.</t>
  </si>
  <si>
    <t xml:space="preserve">Community / Earned (Kickstarter, memberships)</t>
  </si>
  <si>
    <t xml:space="preserve">Presale memberships + crowdfunding — community buy-in.</t>
  </si>
  <si>
    <t xml:space="preserve">Recoupable Portion (investor capital only):</t>
  </si>
  <si>
    <t xml:space="preserve">BUDGET ANALYSIS NOTES (v2):</t>
  </si>
  <si>
    <t xml:space="preserve">• Capitalization reflects: 15-performer cast, premium lighting, expanded lobby (bar/shop/box office), outdoor wall art, Gina as Producer.</t>
  </si>
  <si>
    <t xml:space="preserve">• Compressed pre-opening schedule (2+2+2 wks) significantly reduces salary costs vs. original 6+3+4 model.</t>
  </si>
  <si>
    <t xml:space="preserve">• NO ROYALTIES model: lower weekly overhead but no back-end participation for creatives.</t>
  </si>
  <si>
    <t xml:space="preserve">• Venue buildout reduced from $225K to $30K — this is AGGRESSIVE. Real permitting costs for fire/egress/ADA </t>
  </si>
  <si>
    <t xml:space="preserve">  on a 30K sqft assembly-use warehouse in LA typically run $150K-$300K. Flag this for reality-check with a local contractor.</t>
  </si>
  <si>
    <t xml:space="preserve">• 50% Advertising increase front-loads investment to drive strong opening — critical for compressed preview period.</t>
  </si>
  <si>
    <t xml:space="preserve">• Bar + gift shop = real revenue upside (not modeled in GWBOR, but could add 15-25% to weekly revenue).</t>
  </si>
  <si>
    <t xml:space="preserve">ASSUMPTIONS</t>
  </si>
  <si>
    <t xml:space="preserve">Rehearsal Weeks</t>
  </si>
  <si>
    <t xml:space="preserve">AEA (Actors + SMs)</t>
  </si>
  <si>
    <t xml:space="preserve">SMs only</t>
  </si>
  <si>
    <t xml:space="preserve">Tech Weeks</t>
  </si>
  <si>
    <t xml:space="preserve">SDC (Director/Choreographer)</t>
  </si>
  <si>
    <t xml:space="preserve">Y</t>
  </si>
  <si>
    <t xml:space="preserve">Preview Weeks</t>
  </si>
  <si>
    <t xml:space="preserve">USA (Designers)</t>
  </si>
  <si>
    <t xml:space="preserve">Performance Weeks (run)</t>
  </si>
  <si>
    <t xml:space="preserve">AFM Local 47 (Musicians)</t>
  </si>
  <si>
    <t xml:space="preserve">Shows per week</t>
  </si>
  <si>
    <t xml:space="preserve">ATPAM (House/Press)</t>
  </si>
  <si>
    <t xml:space="preserve">N</t>
  </si>
  <si>
    <t xml:space="preserve">Seat Capacity per show</t>
  </si>
  <si>
    <t xml:space="preserve">Contract Type</t>
  </si>
  <si>
    <t xml:space="preserve">AEA SM contract</t>
  </si>
  <si>
    <t xml:space="preserve">Venue Size (sq ft)</t>
  </si>
  <si>
    <t xml:space="preserve">Stage Manager (PSM)</t>
  </si>
  <si>
    <t xml:space="preserve">Monthly Warehouse Rent</t>
  </si>
  <si>
    <t xml:space="preserve">Assistant Stage Managers</t>
  </si>
  <si>
    <t xml:space="preserve">Performers — Poets/Actors</t>
  </si>
  <si>
    <t xml:space="preserve">Production Assistants</t>
  </si>
  <si>
    <t xml:space="preserve">  of which AEA</t>
  </si>
  <si>
    <t xml:space="preserve">Board Ops / LED Tech</t>
  </si>
  <si>
    <t xml:space="preserve">  of which non-union</t>
  </si>
  <si>
    <t xml:space="preserve">Sound / A1</t>
  </si>
  <si>
    <t xml:space="preserve">Performers — Dancers (non-union)</t>
  </si>
  <si>
    <t xml:space="preserve">Wardrobe Supv + Dressers</t>
  </si>
  <si>
    <t xml:space="preserve">Performers — Musicians (AFM)</t>
  </si>
  <si>
    <t xml:space="preserve">Props Crew</t>
  </si>
  <si>
    <t xml:space="preserve">Understudies / Swings</t>
  </si>
  <si>
    <t xml:space="preserve">Royalty Structure</t>
  </si>
  <si>
    <t xml:space="preserve">None</t>
  </si>
  <si>
    <t xml:space="preserve">Tour Guides / Wranglers per show</t>
  </si>
  <si>
    <t xml:space="preserve">Project Notes:</t>
  </si>
  <si>
    <t xml:space="preserve">• Immersive theatre across six themed environments in a 30,100 sq ft LA warehouse (long-term lease, buildout by production).</t>
  </si>
  <si>
    <t xml:space="preserve">• Journey: Lobby (bar, gift shop, box office) + Space 1 LED intro -&gt; Space 2 Boyle Heights -&gt; Space 3 Asian</t>
  </si>
  <si>
    <t xml:space="preserve">  neighborhoods -&gt; Space 4 African-American neighborhoods -&gt; Space 5 Canyons/folk -&gt; Space 6 Concert -&gt; Space 1 reprise.</t>
  </si>
  <si>
    <t xml:space="preserve">• Scenic concept: miniature LA — forced-perspective iconic buildings + full-scale street props (e.g., taco stand).</t>
  </si>
  <si>
    <t xml:space="preserve">• Premium lighting design: lighting is a primary storytelling device, steering audience focus across 6 environments.</t>
  </si>
  <si>
    <t xml:space="preserve">• Performers double as tour guides where narratively appropriate; 3 dedicated wranglers per show.</t>
  </si>
  <si>
    <t xml:space="preserve">• Music composed by Derrick Hodge (Grammy); production owns composition rights — no composer fee, no royalty.</t>
  </si>
  <si>
    <t xml:space="preserve">• Compressed schedule: 2 rehearsal + 2 tech + 2 preview weeks (6 weeks pre-opening).</t>
  </si>
  <si>
    <t xml:space="preserve">• Run: 60 performance weeks, 12 shows/week (Thu–Sun).</t>
  </si>
  <si>
    <t xml:space="preserve">• Director: Andrew Scoville (Theater of the Mind, Here Lies Love Assoc., Money Heist: The Experience NYC).</t>
  </si>
  <si>
    <t xml:space="preserve">• General Manager: Mark Chinapen.  |  Producer: Gina.</t>
  </si>
  <si>
    <t xml:space="preserve">• Compensation model: NO ROYALTIES. Director + Writer receive weekly salaries in lieu of royalty pool.</t>
  </si>
  <si>
    <t xml:space="preserve">• Partial AEA: 6 of 15 poets/actors + all 3 SMs AEA; dancers and remaining 9 poets non-union; musicians AFM Local 47.</t>
  </si>
  <si>
    <t xml:space="preserve">PRODUCTION BUDGET — IMMERSIVE (150 CAP, 30,100 SQ FT WAREHOUSE)</t>
  </si>
  <si>
    <t xml:space="preserve">Cast: 15 Poets/Actors  |  5 Dancers  |  5 Musicians  |  4 Understudies/Swings</t>
  </si>
  <si>
    <t xml:space="preserve">units</t>
  </si>
  <si>
    <t xml:space="preserve">rate</t>
  </si>
  <si>
    <t xml:space="preserve">amount</t>
  </si>
  <si>
    <t xml:space="preserve">subtotal</t>
  </si>
  <si>
    <t xml:space="preserve">(101)</t>
  </si>
  <si>
    <t xml:space="preserve">Scenery — Spaces 2/3/4/5 (neighborhood builds)</t>
  </si>
  <si>
    <t xml:space="preserve">(101a)</t>
  </si>
  <si>
    <t xml:space="preserve">Scenery — Space 1 (LED lobby/intro)</t>
  </si>
  <si>
    <t xml:space="preserve">(101b)</t>
  </si>
  <si>
    <t xml:space="preserve">Scenery — Space 6 (concert stage + seating)</t>
  </si>
  <si>
    <t xml:space="preserve">(101c)</t>
  </si>
  <si>
    <t xml:space="preserve">Lobby Bar — Build, Equipment, POS, Inventory</t>
  </si>
  <si>
    <t xml:space="preserve">(101d)</t>
  </si>
  <si>
    <t xml:space="preserve">Lobby Gift Shop — Fixtures, Display, POS, Initial Inventory</t>
  </si>
  <si>
    <t xml:space="preserve">(101e)</t>
  </si>
  <si>
    <t xml:space="preserve">Lobby Box Office — Counter, Ticketing Hardware, Display</t>
  </si>
  <si>
    <t xml:space="preserve">(102)</t>
  </si>
  <si>
    <t xml:space="preserve">Automation / Moving Scenic Elements</t>
  </si>
  <si>
    <t xml:space="preserve">(103)</t>
  </si>
  <si>
    <t xml:space="preserve">Costumes — Performers (25 total cast)</t>
  </si>
  <si>
    <t xml:space="preserve">(104)</t>
  </si>
  <si>
    <t xml:space="preserve">Understudy Costumes</t>
  </si>
  <si>
    <t xml:space="preserve">(104a)</t>
  </si>
  <si>
    <t xml:space="preserve">Wardrobe Perishables</t>
  </si>
  <si>
    <t xml:space="preserve">(105)</t>
  </si>
  <si>
    <t xml:space="preserve">Costume Maintenance (pre-show)</t>
  </si>
  <si>
    <t xml:space="preserve">(106)</t>
  </si>
  <si>
    <t xml:space="preserve">Electrics Purchase (premium install — 6 spaces)</t>
  </si>
  <si>
    <t xml:space="preserve">(107)</t>
  </si>
  <si>
    <t xml:space="preserve">Electrics Rental (Tech)</t>
  </si>
  <si>
    <t xml:space="preserve">(108)</t>
  </si>
  <si>
    <t xml:space="preserve">Sound Purchase (install — 6 spaces)</t>
  </si>
  <si>
    <t xml:space="preserve">(109)</t>
  </si>
  <si>
    <t xml:space="preserve">Sound Rental (Tech)</t>
  </si>
  <si>
    <t xml:space="preserve">(110)</t>
  </si>
  <si>
    <t xml:space="preserve">Props / Furniture (6 spaces)</t>
  </si>
  <si>
    <t xml:space="preserve">(111)</t>
  </si>
  <si>
    <t xml:space="preserve">Special Effects (haze, fog, atmospherics)</t>
  </si>
  <si>
    <t xml:space="preserve">(112)</t>
  </si>
  <si>
    <t xml:space="preserve">Projections Equipment (non-LED)</t>
  </si>
  <si>
    <t xml:space="preserve">(113)</t>
  </si>
  <si>
    <t xml:space="preserve">LED Wall — Purchase (110 ft x 14 ft)</t>
  </si>
  <si>
    <t xml:space="preserve">(113a)</t>
  </si>
  <si>
    <t xml:space="preserve">LED Media Servers / Playback Infrastructure</t>
  </si>
  <si>
    <t xml:space="preserve">(113b)</t>
  </si>
  <si>
    <t xml:space="preserve">LED Content Creation / Video Production</t>
  </si>
  <si>
    <t xml:space="preserve">(114)</t>
  </si>
  <si>
    <t xml:space="preserve">Hair / Wigs / Makeup</t>
  </si>
  <si>
    <t xml:space="preserve">(115)</t>
  </si>
  <si>
    <t xml:space="preserve">Designer Expenses</t>
  </si>
  <si>
    <t xml:space="preserve">(116)</t>
  </si>
  <si>
    <t xml:space="preserve">Departmental Expenses / Hardware</t>
  </si>
  <si>
    <t xml:space="preserve">(117)</t>
  </si>
  <si>
    <t xml:space="preserve">Carting / Trucking / Storage</t>
  </si>
  <si>
    <t xml:space="preserve">(118)</t>
  </si>
  <si>
    <t xml:space="preserve">Venue Permitting &amp; Occupancy Buildout</t>
  </si>
  <si>
    <t xml:space="preserve">(119)</t>
  </si>
  <si>
    <t xml:space="preserve">Security Infrastructure (cameras, access, install, training)</t>
  </si>
  <si>
    <t xml:space="preserve">(120)</t>
  </si>
  <si>
    <t xml:space="preserve">Exterior Wall Paint/Mural Wrap (front — ~3,820 sq ft)</t>
  </si>
  <si>
    <t xml:space="preserve">TOTAL 100 — PHYSICAL</t>
  </si>
  <si>
    <t xml:space="preserve">(201)</t>
  </si>
  <si>
    <t xml:space="preserve">Author / Book Writer (includes 50% of run-period salary)</t>
  </si>
  <si>
    <t xml:space="preserve">(203)</t>
  </si>
  <si>
    <t xml:space="preserve">Director — Andrew Scoville (includes 50% of run-period salary)</t>
  </si>
  <si>
    <t xml:space="preserve">(204)</t>
  </si>
  <si>
    <t xml:space="preserve">Assistant Director</t>
  </si>
  <si>
    <t xml:space="preserve">(205)</t>
  </si>
  <si>
    <t xml:space="preserve">Choreographer</t>
  </si>
  <si>
    <t xml:space="preserve">(206)</t>
  </si>
  <si>
    <t xml:space="preserve">Assistant Choreographer</t>
  </si>
  <si>
    <t xml:space="preserve">(207)</t>
  </si>
  <si>
    <t xml:space="preserve">Scenic Designer (6 environments)</t>
  </si>
  <si>
    <t xml:space="preserve">(208)</t>
  </si>
  <si>
    <t xml:space="preserve">Assistant Scenic Designer</t>
  </si>
  <si>
    <t xml:space="preserve">(209)</t>
  </si>
  <si>
    <t xml:space="preserve">Costume Designer</t>
  </si>
  <si>
    <t xml:space="preserve">(210)</t>
  </si>
  <si>
    <t xml:space="preserve">Assistant Costume Designer</t>
  </si>
  <si>
    <t xml:space="preserve">(211)</t>
  </si>
  <si>
    <t xml:space="preserve">Lighting Designer (premium — lead design across 6 spaces)</t>
  </si>
  <si>
    <t xml:space="preserve">(211a)</t>
  </si>
  <si>
    <t xml:space="preserve">Associate Lighting Designer</t>
  </si>
  <si>
    <t xml:space="preserve">(212)</t>
  </si>
  <si>
    <t xml:space="preserve">Assistant Lighting Designer</t>
  </si>
  <si>
    <t xml:space="preserve">(213)</t>
  </si>
  <si>
    <t xml:space="preserve">Sound Designer (spatial audio, 6 spaces)</t>
  </si>
  <si>
    <t xml:space="preserve">(214)</t>
  </si>
  <si>
    <t xml:space="preserve">Assistant Sound Designer</t>
  </si>
  <si>
    <t xml:space="preserve">(217)</t>
  </si>
  <si>
    <t xml:space="preserve">Projections / Video Designer (LED content + projection)</t>
  </si>
  <si>
    <t xml:space="preserve">(218)</t>
  </si>
  <si>
    <t xml:space="preserve">Assistant Projections Designer</t>
  </si>
  <si>
    <t xml:space="preserve">(215)</t>
  </si>
  <si>
    <t xml:space="preserve">Props Designer</t>
  </si>
  <si>
    <t xml:space="preserve">(216)</t>
  </si>
  <si>
    <t xml:space="preserve">Prop Shopper / Buyer</t>
  </si>
  <si>
    <t xml:space="preserve">(219)</t>
  </si>
  <si>
    <t xml:space="preserve">Hair / Makeup Designer</t>
  </si>
  <si>
    <t xml:space="preserve">(220)</t>
  </si>
  <si>
    <t xml:space="preserve">Assistant Hair / Makeup Designer</t>
  </si>
  <si>
    <t xml:space="preserve">(221)</t>
  </si>
  <si>
    <t xml:space="preserve">Fight Director</t>
  </si>
  <si>
    <t xml:space="preserve">(222)</t>
  </si>
  <si>
    <t xml:space="preserve">Intimacy Coordinator</t>
  </si>
  <si>
    <t xml:space="preserve">(223)</t>
  </si>
  <si>
    <t xml:space="preserve">Special Effects Designer</t>
  </si>
  <si>
    <t xml:space="preserve">(224)</t>
  </si>
  <si>
    <t xml:space="preserve">Orchestrator / Arranger (re-orch Hodge score for 5-pc)</t>
  </si>
  <si>
    <t xml:space="preserve">(225)</t>
  </si>
  <si>
    <t xml:space="preserve">Copyist</t>
  </si>
  <si>
    <t xml:space="preserve">(226)</t>
  </si>
  <si>
    <t xml:space="preserve">Music Director (pre-pro portion)</t>
  </si>
  <si>
    <t xml:space="preserve">(227)</t>
  </si>
  <si>
    <t xml:space="preserve">Vocal Director</t>
  </si>
  <si>
    <t xml:space="preserve">(228)</t>
  </si>
  <si>
    <t xml:space="preserve">Dialect / Language Coach</t>
  </si>
  <si>
    <t xml:space="preserve">(229)</t>
  </si>
  <si>
    <t xml:space="preserve">Executive Producer</t>
  </si>
  <si>
    <t xml:space="preserve">(229a)</t>
  </si>
  <si>
    <t xml:space="preserve">Producer — Gina</t>
  </si>
  <si>
    <t xml:space="preserve">(230)</t>
  </si>
  <si>
    <t xml:space="preserve">General Management — Chinapen (includes 50% of run-period weekly fee)</t>
  </si>
  <si>
    <t xml:space="preserve">(230a)</t>
  </si>
  <si>
    <t xml:space="preserve">Property Manager (pre-opening)</t>
  </si>
  <si>
    <t xml:space="preserve">(231)</t>
  </si>
  <si>
    <t xml:space="preserve">Production Manager</t>
  </si>
  <si>
    <t xml:space="preserve">(232)</t>
  </si>
  <si>
    <t xml:space="preserve">Technical Director</t>
  </si>
  <si>
    <t xml:space="preserve">(233)</t>
  </si>
  <si>
    <t xml:space="preserve">Master Electrician (pre-pro)</t>
  </si>
  <si>
    <t xml:space="preserve">(234)</t>
  </si>
  <si>
    <t xml:space="preserve">Casting Director</t>
  </si>
  <si>
    <t xml:space="preserve">(235)</t>
  </si>
  <si>
    <t xml:space="preserve">Press Agent (startup)</t>
  </si>
  <si>
    <t xml:space="preserve">(236)</t>
  </si>
  <si>
    <t xml:space="preserve">Advertising Agency Startup</t>
  </si>
  <si>
    <t xml:space="preserve">(237)</t>
  </si>
  <si>
    <t xml:space="preserve">Marketing / Social Media Startup</t>
  </si>
  <si>
    <t xml:space="preserve">(238)</t>
  </si>
  <si>
    <t xml:space="preserve">SDC Pension 4.5% (on Director + Chor fees)</t>
  </si>
  <si>
    <t xml:space="preserve">(239)</t>
  </si>
  <si>
    <t xml:space="preserve">SDC Health (4 positions × 8 wks × $187)</t>
  </si>
  <si>
    <t xml:space="preserve">(240)</t>
  </si>
  <si>
    <t xml:space="preserve">USA Health 13% (on designer fees)</t>
  </si>
  <si>
    <t xml:space="preserve">(241)</t>
  </si>
  <si>
    <t xml:space="preserve">USA Pension 9% (on designer fees)</t>
  </si>
  <si>
    <t xml:space="preserve">(242)</t>
  </si>
  <si>
    <t xml:space="preserve">USA Benefits 25% (on designer fees)</t>
  </si>
  <si>
    <t xml:space="preserve">(243)</t>
  </si>
  <si>
    <t xml:space="preserve">Payroll Taxes 18% (on W-2 creative fees)</t>
  </si>
  <si>
    <t xml:space="preserve">TOTAL 200 — FIXED FEES</t>
  </si>
  <si>
    <t xml:space="preserve">(300) SALARIES — REHEARSAL / TECH / PREVIEW (2+2+2 wks)</t>
  </si>
  <si>
    <t xml:space="preserve">(301)</t>
  </si>
  <si>
    <t xml:space="preserve">Stars</t>
  </si>
  <si>
    <t xml:space="preserve">(302)</t>
  </si>
  <si>
    <t xml:space="preserve">Principals — AEA (6 × 4 wks)</t>
  </si>
  <si>
    <t xml:space="preserve">(302a)</t>
  </si>
  <si>
    <t xml:space="preserve">Principals — Non-union Poets (9 × 4 wks)</t>
  </si>
  <si>
    <t xml:space="preserve">(302b)</t>
  </si>
  <si>
    <t xml:space="preserve">Dancers — Non-union (5 × 4 wks)</t>
  </si>
  <si>
    <t xml:space="preserve">(303)</t>
  </si>
  <si>
    <t xml:space="preserve">Dance Captain premium (4 wks × 18%)</t>
  </si>
  <si>
    <t xml:space="preserve">(304)</t>
  </si>
  <si>
    <t xml:space="preserve">Swings / Understudies (4 × 4 wks)</t>
  </si>
  <si>
    <t xml:space="preserve">(305)</t>
  </si>
  <si>
    <t xml:space="preserve">Stage Manager (PSM, AEA) — 4 wks</t>
  </si>
  <si>
    <t xml:space="preserve">(305.5)</t>
  </si>
  <si>
    <t xml:space="preserve">PSM Pre-Production Prep</t>
  </si>
  <si>
    <t xml:space="preserve">(305.6)</t>
  </si>
  <si>
    <t xml:space="preserve">PSM Tech Bump (2 wks × 33%)</t>
  </si>
  <si>
    <t xml:space="preserve">(306)</t>
  </si>
  <si>
    <t xml:space="preserve">Assistant Stage Managers (AEA, 2 × 4 wks)</t>
  </si>
  <si>
    <t xml:space="preserve">(306.6)</t>
  </si>
  <si>
    <t xml:space="preserve">ASM Tech Bumps (2 × 2 wks × 33%)</t>
  </si>
  <si>
    <t xml:space="preserve">(306.8)</t>
  </si>
  <si>
    <t xml:space="preserve">ASM Previews (2 × 2 wks)</t>
  </si>
  <si>
    <t xml:space="preserve">(307)</t>
  </si>
  <si>
    <t xml:space="preserve">Actor 10/12 Tech Bumps (25 × 2 wks)</t>
  </si>
  <si>
    <t xml:space="preserve">(308)</t>
  </si>
  <si>
    <t xml:space="preserve">Production Assistants (2 × 4 wks)</t>
  </si>
  <si>
    <t xml:space="preserve">(308a)</t>
  </si>
  <si>
    <t xml:space="preserve">Music Director (rehearsal+tech, 4 wks)</t>
  </si>
  <si>
    <t xml:space="preserve">(308b)</t>
  </si>
  <si>
    <t xml:space="preserve">Musicians — AFM (5 × 4 wks: tech+preview)</t>
  </si>
  <si>
    <t xml:space="preserve">(308c)</t>
  </si>
  <si>
    <t xml:space="preserve">Musicians Hourly Rehearsal Calls</t>
  </si>
  <si>
    <t xml:space="preserve">(309)</t>
  </si>
  <si>
    <t xml:space="preserve">Musician Contractor Fee</t>
  </si>
  <si>
    <t xml:space="preserve">(311)</t>
  </si>
  <si>
    <t xml:space="preserve">Musicians — Synth Programmer</t>
  </si>
  <si>
    <t xml:space="preserve">(312)</t>
  </si>
  <si>
    <t xml:space="preserve">Audition / Rehearsal Pianist</t>
  </si>
  <si>
    <t xml:space="preserve">(313)</t>
  </si>
  <si>
    <t xml:space="preserve">Lighting Board Op (tech/preview hrs)</t>
  </si>
  <si>
    <t xml:space="preserve">(314)</t>
  </si>
  <si>
    <t xml:space="preserve">Lighting Programmer (premium — 6 spaces)</t>
  </si>
  <si>
    <t xml:space="preserve">(315)</t>
  </si>
  <si>
    <t xml:space="preserve">LED Wall / Media Server Programmer</t>
  </si>
  <si>
    <t xml:space="preserve">(317)</t>
  </si>
  <si>
    <t xml:space="preserve">Sound Crew / A1 (tech+preview)</t>
  </si>
  <si>
    <t xml:space="preserve">(319)</t>
  </si>
  <si>
    <t xml:space="preserve">Props Crew (tech+preview)</t>
  </si>
  <si>
    <t xml:space="preserve">(320)</t>
  </si>
  <si>
    <t xml:space="preserve">Wardrobe Supervisor (tech+preview)</t>
  </si>
  <si>
    <t xml:space="preserve">(321)</t>
  </si>
  <si>
    <t xml:space="preserve">Dressers (2 × 4 wks)</t>
  </si>
  <si>
    <t xml:space="preserve">(322)</t>
  </si>
  <si>
    <t xml:space="preserve">Audio Engineer (Head A2)</t>
  </si>
  <si>
    <t xml:space="preserve">(323)</t>
  </si>
  <si>
    <t xml:space="preserve">General Manager (weekly retainer, 6 wks pre-open)</t>
  </si>
  <si>
    <t xml:space="preserve">(324)</t>
  </si>
  <si>
    <t xml:space="preserve">Company / House Manager (6 wks pre-open)</t>
  </si>
  <si>
    <t xml:space="preserve">(325)</t>
  </si>
  <si>
    <t xml:space="preserve">Tour Guide / Wrangler Training (3 × 2 wks)</t>
  </si>
  <si>
    <t xml:space="preserve">(326)</t>
  </si>
  <si>
    <t xml:space="preserve">AEA Overtime Contingency</t>
  </si>
  <si>
    <t xml:space="preserve">(327)</t>
  </si>
  <si>
    <t xml:space="preserve">AFM Overtime Contingency</t>
  </si>
  <si>
    <t xml:space="preserve">(328)</t>
  </si>
  <si>
    <t xml:space="preserve">Crew Overtime Contingency</t>
  </si>
  <si>
    <t xml:space="preserve">(329)</t>
  </si>
  <si>
    <t xml:space="preserve">AEA SM Health (3 SMs × 5 wks × $190)</t>
  </si>
  <si>
    <t xml:space="preserve">(331)</t>
  </si>
  <si>
    <t xml:space="preserve">AEA Actor Health (8 AEA × 4 wks × $190)</t>
  </si>
  <si>
    <t xml:space="preserve">(332)</t>
  </si>
  <si>
    <t xml:space="preserve">AEA Pension 8% (on AEA salaries)</t>
  </si>
  <si>
    <t xml:space="preserve">(333)</t>
  </si>
  <si>
    <t xml:space="preserve">AEA New Media 1.5% (on AEA salaries)</t>
  </si>
  <si>
    <t xml:space="preserve">(333a)</t>
  </si>
  <si>
    <t xml:space="preserve">AFM Pension + H&amp;W ~15% (on musicians)</t>
  </si>
  <si>
    <t xml:space="preserve">(334)</t>
  </si>
  <si>
    <t xml:space="preserve">Payroll Taxes 18% (on W-2 salaries)</t>
  </si>
  <si>
    <t xml:space="preserve">TOTAL 300 — SALARIES</t>
  </si>
  <si>
    <t xml:space="preserve">(401)</t>
  </si>
  <si>
    <t xml:space="preserve">Audition Space Rental (40 sessions × $125)</t>
  </si>
  <si>
    <t xml:space="preserve">(402)</t>
  </si>
  <si>
    <t xml:space="preserve">Rehearsal Space Rental (LA — 2 wks)</t>
  </si>
  <si>
    <t xml:space="preserve">(403)</t>
  </si>
  <si>
    <t xml:space="preserve">Scripts / Scores / Design Blueprints</t>
  </si>
  <si>
    <t xml:space="preserve">(404)</t>
  </si>
  <si>
    <t xml:space="preserve">Stage Manager Kit / Expenses</t>
  </si>
  <si>
    <t xml:space="preserve">(405)</t>
  </si>
  <si>
    <t xml:space="preserve">Rehearsal Scenery &amp; Mock-ups</t>
  </si>
  <si>
    <t xml:space="preserve">(406)</t>
  </si>
  <si>
    <t xml:space="preserve">Rehearsal Costumes / Shoes</t>
  </si>
  <si>
    <t xml:space="preserve">(407)</t>
  </si>
  <si>
    <t xml:space="preserve">Rehearsal Lighting / Sound</t>
  </si>
  <si>
    <t xml:space="preserve">(408)</t>
  </si>
  <si>
    <t xml:space="preserve">Rehearsal Props</t>
  </si>
  <si>
    <t xml:space="preserve">(409)</t>
  </si>
  <si>
    <t xml:space="preserve">Casting Expenses (readers, sides, sessions)</t>
  </si>
  <si>
    <t xml:space="preserve">(410)</t>
  </si>
  <si>
    <t xml:space="preserve">Hospitality / Crafty / Meals</t>
  </si>
  <si>
    <t xml:space="preserve">TOTAL 400 — CASTING / REHEARSAL EXPENSES</t>
  </si>
  <si>
    <t xml:space="preserve">(501)</t>
  </si>
  <si>
    <t xml:space="preserve">Orchestrations — NEW (Hodge score already composed, rights owned)</t>
  </si>
  <si>
    <t xml:space="preserve">(501a)</t>
  </si>
  <si>
    <t xml:space="preserve">Re-orchestration for 5-piece band (adaptation)</t>
  </si>
  <si>
    <t xml:space="preserve">(502)</t>
  </si>
  <si>
    <t xml:space="preserve">Vocal Arrangements</t>
  </si>
  <si>
    <t xml:space="preserve">(503)</t>
  </si>
  <si>
    <t xml:space="preserve">Dance / Incidental Arrangements</t>
  </si>
  <si>
    <t xml:space="preserve">(504)</t>
  </si>
  <si>
    <t xml:space="preserve">Music Copying</t>
  </si>
  <si>
    <t xml:space="preserve">(505)</t>
  </si>
  <si>
    <t xml:space="preserve">Music Maintenance</t>
  </si>
  <si>
    <t xml:space="preserve">(506)</t>
  </si>
  <si>
    <t xml:space="preserve">Synth Programming / Patch Purchase</t>
  </si>
  <si>
    <t xml:space="preserve">(507)</t>
  </si>
  <si>
    <t xml:space="preserve">Studio Rental for Music Rehearsal</t>
  </si>
  <si>
    <t xml:space="preserve">(508)</t>
  </si>
  <si>
    <t xml:space="preserve">Instruments — Purchase / Rental</t>
  </si>
  <si>
    <t xml:space="preserve">(509)</t>
  </si>
  <si>
    <t xml:space="preserve">Music Lessons / Coaching</t>
  </si>
  <si>
    <t xml:space="preserve">(511)</t>
  </si>
  <si>
    <t xml:space="preserve">AFM Music Prep Health &amp; Welfare</t>
  </si>
  <si>
    <t xml:space="preserve">TOTAL 500 — MUSIC EXPENSES</t>
  </si>
  <si>
    <t xml:space="preserve">(600) ADVERTISING &amp; PROMOTION (Pre-Opening) — +50%</t>
  </si>
  <si>
    <t xml:space="preserve">(601)</t>
  </si>
  <si>
    <t xml:space="preserve">Design / Creative Production (print + digital)</t>
  </si>
  <si>
    <t xml:space="preserve">(602)</t>
  </si>
  <si>
    <t xml:space="preserve">Photography (key art, production stills)</t>
  </si>
  <si>
    <t xml:space="preserve">(603)</t>
  </si>
  <si>
    <t xml:space="preserve">B-Roll / Video Production (trailer, social)</t>
  </si>
  <si>
    <t xml:space="preserve">(604)</t>
  </si>
  <si>
    <t xml:space="preserve">Front of House Signage / Banners / Street Art</t>
  </si>
  <si>
    <t xml:space="preserve">(605)</t>
  </si>
  <si>
    <t xml:space="preserve">Website Build &amp; Maintenance (14-mo run)</t>
  </si>
  <si>
    <t xml:space="preserve">(606)</t>
  </si>
  <si>
    <t xml:space="preserve">Printing (programs, flyers)</t>
  </si>
  <si>
    <t xml:space="preserve">(607)</t>
  </si>
  <si>
    <t xml:space="preserve">Art Production (outdoor, transit)</t>
  </si>
  <si>
    <t xml:space="preserve">(608)</t>
  </si>
  <si>
    <t xml:space="preserve">Key Art / Logo Design</t>
  </si>
  <si>
    <t xml:space="preserve">(609)</t>
  </si>
  <si>
    <t xml:space="preserve">Radio / TV / Podcast Production</t>
  </si>
  <si>
    <t xml:space="preserve">(610)</t>
  </si>
  <si>
    <t xml:space="preserve">Group Sales / Tourism Partner Outreach</t>
  </si>
  <si>
    <t xml:space="preserve">(611)</t>
  </si>
  <si>
    <t xml:space="preserve">Press Agent Expenses / Press Events</t>
  </si>
  <si>
    <t xml:space="preserve">(612)</t>
  </si>
  <si>
    <t xml:space="preserve">Marketing Director Fee (pre-opening)</t>
  </si>
  <si>
    <t xml:space="preserve">(613)</t>
  </si>
  <si>
    <t xml:space="preserve">Opening Night Event</t>
  </si>
  <si>
    <t xml:space="preserve">(614)</t>
  </si>
  <si>
    <t xml:space="preserve">Community Partner Outreach (LA neighborhood orgs)</t>
  </si>
  <si>
    <t xml:space="preserve">(615)</t>
  </si>
  <si>
    <t xml:space="preserve">Educational / Discussion Guide Materials</t>
  </si>
  <si>
    <t xml:space="preserve">(616)</t>
  </si>
  <si>
    <t xml:space="preserve">Ad Spend — Pre-Opening (digital, OOH, print)</t>
  </si>
  <si>
    <t xml:space="preserve">TOTAL 600 — ADVERTISING &amp; PROMOTION</t>
  </si>
  <si>
    <t xml:space="preserve">(700) VENUE &amp; TECH (Load-In / Tech Labor)</t>
  </si>
  <si>
    <t xml:space="preserve">(701)</t>
  </si>
  <si>
    <t xml:space="preserve">Warehouse Rent — Pre-Opening (2 months)</t>
  </si>
  <si>
    <t xml:space="preserve">(702)</t>
  </si>
  <si>
    <t xml:space="preserve">Utilities Pre-Opening (HVAC, power — large warehouse)</t>
  </si>
  <si>
    <t xml:space="preserve">(703)</t>
  </si>
  <si>
    <t xml:space="preserve">Production Technical Supervisor (flat)</t>
  </si>
  <si>
    <t xml:space="preserve">(708)</t>
  </si>
  <si>
    <t xml:space="preserve">Shop Prep — Scenic (crew hrs)</t>
  </si>
  <si>
    <t xml:space="preserve">(709)</t>
  </si>
  <si>
    <t xml:space="preserve">Shop Prep — Electrics</t>
  </si>
  <si>
    <t xml:space="preserve">(710)</t>
  </si>
  <si>
    <t xml:space="preserve">Shop Prep — Audio</t>
  </si>
  <si>
    <t xml:space="preserve">(711)</t>
  </si>
  <si>
    <t xml:space="preserve">Production Labor — Scenic Load-In (3 wks)</t>
  </si>
  <si>
    <t xml:space="preserve">(712)</t>
  </si>
  <si>
    <t xml:space="preserve">Production Labor — Electrics Load-In (premium install)</t>
  </si>
  <si>
    <t xml:space="preserve">(713)</t>
  </si>
  <si>
    <t xml:space="preserve">Production Labor — Audio Load-In</t>
  </si>
  <si>
    <t xml:space="preserve">(714)</t>
  </si>
  <si>
    <t xml:space="preserve">Production Labor — LED Wall Install (specialty)</t>
  </si>
  <si>
    <t xml:space="preserve">(715)</t>
  </si>
  <si>
    <t xml:space="preserve">Preview Labor — Scenic touch-ups (2 wks)</t>
  </si>
  <si>
    <t xml:space="preserve">(716)</t>
  </si>
  <si>
    <t xml:space="preserve">Preview Labor — Costume</t>
  </si>
  <si>
    <t xml:space="preserve">(717)</t>
  </si>
  <si>
    <t xml:space="preserve">Preview Labor — Lighting</t>
  </si>
  <si>
    <t xml:space="preserve">(718)</t>
  </si>
  <si>
    <t xml:space="preserve">Preview Labor — Sound</t>
  </si>
  <si>
    <t xml:space="preserve">(719)</t>
  </si>
  <si>
    <t xml:space="preserve">Load-Out — Scenic (end of run)</t>
  </si>
  <si>
    <t xml:space="preserve">(720)</t>
  </si>
  <si>
    <t xml:space="preserve">Load-Out — Electrics</t>
  </si>
  <si>
    <t xml:space="preserve">(721)</t>
  </si>
  <si>
    <t xml:space="preserve">Load-Out — Audio / LED</t>
  </si>
  <si>
    <t xml:space="preserve">(722)</t>
  </si>
  <si>
    <t xml:space="preserve">Payroll Taxes 18% (on load-in/out labor)</t>
  </si>
  <si>
    <t xml:space="preserve">TOTAL 700 — VENUE &amp; TECH</t>
  </si>
  <si>
    <t xml:space="preserve">(801)</t>
  </si>
  <si>
    <t xml:space="preserve">Producer's Office Fee (6 mos × $600)</t>
  </si>
  <si>
    <t xml:space="preserve">(802)</t>
  </si>
  <si>
    <t xml:space="preserve">General Management Office Fee (6 mos × $600)</t>
  </si>
  <si>
    <t xml:space="preserve">(803)</t>
  </si>
  <si>
    <t xml:space="preserve">Accounting / Bookkeeping setup</t>
  </si>
  <si>
    <t xml:space="preserve">(804)</t>
  </si>
  <si>
    <t xml:space="preserve">Legal (LLC, contracts, permits, union negs)</t>
  </si>
  <si>
    <t xml:space="preserve">(805)</t>
  </si>
  <si>
    <t xml:space="preserve">Insurance (immersive: high GL + participant coverage)</t>
  </si>
  <si>
    <t xml:space="preserve">(806)</t>
  </si>
  <si>
    <t xml:space="preserve">Visa Costs / Travel for key creatives</t>
  </si>
  <si>
    <t xml:space="preserve">(807)</t>
  </si>
  <si>
    <t xml:space="preserve">Payroll Service setup + pre-opening</t>
  </si>
  <si>
    <t xml:space="preserve">(808)</t>
  </si>
  <si>
    <t xml:space="preserve">Travel &amp; Housing (NY creatives to LA)</t>
  </si>
  <si>
    <t xml:space="preserve">(809)</t>
  </si>
  <si>
    <t xml:space="preserve">Per Diem Contingency</t>
  </si>
  <si>
    <t xml:space="preserve">(810)</t>
  </si>
  <si>
    <t xml:space="preserve">Miscellaneous / Office Supplies</t>
  </si>
  <si>
    <t xml:space="preserve">TOTAL 800 — GENERAL &amp; ADMINISTRATIVE</t>
  </si>
  <si>
    <t xml:space="preserve">(901)</t>
  </si>
  <si>
    <t xml:space="preserve">Design Development Workshops (spatial/scenic)</t>
  </si>
  <si>
    <t xml:space="preserve">(902)</t>
  </si>
  <si>
    <t xml:space="preserve">Site-Specific R&amp;D (content, audience tracks)</t>
  </si>
  <si>
    <t xml:space="preserve">(903)</t>
  </si>
  <si>
    <t xml:space="preserve">Community Engagement / Story Development</t>
  </si>
  <si>
    <t xml:space="preserve">TOTAL 900 — DEVELOPMENTAL</t>
  </si>
  <si>
    <t xml:space="preserve">(951)</t>
  </si>
  <si>
    <t xml:space="preserve">Actors' Equity Bond (~2x weekly AEA salaries)</t>
  </si>
  <si>
    <t xml:space="preserve">(953)</t>
  </si>
  <si>
    <t xml:space="preserve">AFM Musicians Bond</t>
  </si>
  <si>
    <t xml:space="preserve">(954)</t>
  </si>
  <si>
    <t xml:space="preserve">SDC Bond</t>
  </si>
  <si>
    <t xml:space="preserve">(955)</t>
  </si>
  <si>
    <t xml:space="preserve">USA Bond</t>
  </si>
  <si>
    <t xml:space="preserve">(956)</t>
  </si>
  <si>
    <t xml:space="preserve">Warehouse Deposit (2 months rent)</t>
  </si>
  <si>
    <t xml:space="preserve">(957)</t>
  </si>
  <si>
    <t xml:space="preserve">Electrics Shop Guarantee</t>
  </si>
  <si>
    <t xml:space="preserve">(958)</t>
  </si>
  <si>
    <t xml:space="preserve">Sound Shop Guarantee</t>
  </si>
  <si>
    <t xml:space="preserve">(959)</t>
  </si>
  <si>
    <t xml:space="preserve">LED Vendor Deposit</t>
  </si>
  <si>
    <t xml:space="preserve">(964)</t>
  </si>
  <si>
    <t xml:space="preserve">Author Advance (recoupable — no royalty deal)</t>
  </si>
  <si>
    <t xml:space="preserve">(965)</t>
  </si>
  <si>
    <t xml:space="preserve">Director Advance — Scoville</t>
  </si>
  <si>
    <t xml:space="preserve">(966)</t>
  </si>
  <si>
    <t xml:space="preserve">Choreographer Advance</t>
  </si>
  <si>
    <t xml:space="preserve">(967)</t>
  </si>
  <si>
    <t xml:space="preserve">Closing Costs Bond</t>
  </si>
  <si>
    <t xml:space="preserve">TOTAL 950 — BONDS, DEPOSITS, ADVANCES</t>
  </si>
  <si>
    <t xml:space="preserve">SUBTOTAL CAPITALIZATION (Prod + Bonds):</t>
  </si>
  <si>
    <t xml:space="preserve">(1001)</t>
  </si>
  <si>
    <t xml:space="preserve">Preview Weeks Operating Reserve (2 wks × weekly op)</t>
  </si>
  <si>
    <t xml:space="preserve">(1002)</t>
  </si>
  <si>
    <t xml:space="preserve">Contingency (10% of Production Costs)</t>
  </si>
  <si>
    <t xml:space="preserve">TOTAL 1000 — CONTINGENCY &amp; RESERVE</t>
  </si>
  <si>
    <t xml:space="preserve">WEEKLY OPERATING BUDGET</t>
  </si>
  <si>
    <t xml:space="preserve">Per-week costs during 60-week run — NO ROYALTIES model (Director + Writer on salary)</t>
  </si>
  <si>
    <t xml:space="preserve">(1101)</t>
  </si>
  <si>
    <t xml:space="preserve">Costume Maintenance / Replacements</t>
  </si>
  <si>
    <t xml:space="preserve">(1102)</t>
  </si>
  <si>
    <t xml:space="preserve">Hair / Makeup Supplies</t>
  </si>
  <si>
    <t xml:space="preserve">(1103)</t>
  </si>
  <si>
    <t xml:space="preserve">Prop Replacements / Perishables</t>
  </si>
  <si>
    <t xml:space="preserve">(1104)</t>
  </si>
  <si>
    <t xml:space="preserve">Electrics Maintenance (premium lighting, 6 spaces)</t>
  </si>
  <si>
    <t xml:space="preserve">(1105)</t>
  </si>
  <si>
    <t xml:space="preserve">LED Wall Service Contract / Parts</t>
  </si>
  <si>
    <t xml:space="preserve">(1106)</t>
  </si>
  <si>
    <t xml:space="preserve">Sound Maintenance / Batteries / Parts</t>
  </si>
  <si>
    <t xml:space="preserve">(1107)</t>
  </si>
  <si>
    <t xml:space="preserve">Scenic Repair / Paint / Hardware</t>
  </si>
  <si>
    <t xml:space="preserve">(1108)</t>
  </si>
  <si>
    <t xml:space="preserve">Cleaning / Janitorial (30K sqft)</t>
  </si>
  <si>
    <t xml:space="preserve">(1109)</t>
  </si>
  <si>
    <t xml:space="preserve">Sanitation / Restroom Supplies</t>
  </si>
  <si>
    <t xml:space="preserve">(1110)</t>
  </si>
  <si>
    <t xml:space="preserve">Load-Out Accrual (weekly)</t>
  </si>
  <si>
    <t xml:space="preserve">(1111)</t>
  </si>
  <si>
    <t xml:space="preserve">Bar / Gift Shop — Restocking Allowance</t>
  </si>
  <si>
    <t xml:space="preserve">TOTAL 1100 — PHYSICAL MAINTENANCE</t>
  </si>
  <si>
    <t xml:space="preserve">(1201)</t>
  </si>
  <si>
    <t xml:space="preserve">General Management (50% — other 50% in prod budget)</t>
  </si>
  <si>
    <t xml:space="preserve">(1202)</t>
  </si>
  <si>
    <t xml:space="preserve">Production Supervisor / Resident Director — ELIMINATED</t>
  </si>
  <si>
    <t xml:space="preserve">(1203)</t>
  </si>
  <si>
    <t xml:space="preserve">Music Director (weekly) — CUT</t>
  </si>
  <si>
    <t xml:space="preserve">(1204)</t>
  </si>
  <si>
    <t xml:space="preserve">Press Agent (weekly)</t>
  </si>
  <si>
    <t xml:space="preserve">(1205)</t>
  </si>
  <si>
    <t xml:space="preserve">Advertising Agency (weekly)</t>
  </si>
  <si>
    <t xml:space="preserve">(1206)</t>
  </si>
  <si>
    <t xml:space="preserve">Marketing / Social Media Agency</t>
  </si>
  <si>
    <t xml:space="preserve">(1207)</t>
  </si>
  <si>
    <t xml:space="preserve">Casting Director (ongoing) — CUT</t>
  </si>
  <si>
    <t xml:space="preserve">(1208)</t>
  </si>
  <si>
    <t xml:space="preserve">Accounting / Bookkeeping (weekly)</t>
  </si>
  <si>
    <t xml:space="preserve">(1209)</t>
  </si>
  <si>
    <t xml:space="preserve">Legal Retainer</t>
  </si>
  <si>
    <t xml:space="preserve">(1210)</t>
  </si>
  <si>
    <t xml:space="preserve">Payroll Service</t>
  </si>
  <si>
    <t xml:space="preserve">(1211)</t>
  </si>
  <si>
    <t xml:space="preserve">Property Manager (weekly)</t>
  </si>
  <si>
    <t xml:space="preserve">TOTAL 1200 — FEES</t>
  </si>
  <si>
    <t xml:space="preserve">(1300) SALARIES (WEEKLY)</t>
  </si>
  <si>
    <t xml:space="preserve">(1300a)</t>
  </si>
  <si>
    <t xml:space="preserve">Director Scoville (50% — other 50% in prod budget)</t>
  </si>
  <si>
    <t xml:space="preserve">(1300b)</t>
  </si>
  <si>
    <t xml:space="preserve">Writer / Author (50% — other 50% in prod budget)</t>
  </si>
  <si>
    <t xml:space="preserve">(1301)</t>
  </si>
  <si>
    <t xml:space="preserve">Principals — AEA — ELIMINATED (cast now all non-union)</t>
  </si>
  <si>
    <t xml:space="preserve">(1301a)</t>
  </si>
  <si>
    <t xml:space="preserve">Principals — Non-union Poets (6)</t>
  </si>
  <si>
    <t xml:space="preserve">(1301b)</t>
  </si>
  <si>
    <t xml:space="preserve">Dancers — Non-union (5)</t>
  </si>
  <si>
    <t xml:space="preserve">(1301c)</t>
  </si>
  <si>
    <t xml:space="preserve">Tour Guide Actors (non-union, 2 — in-cast guides)</t>
  </si>
  <si>
    <t xml:space="preserve">(1301d)</t>
  </si>
  <si>
    <t xml:space="preserve">Teenage Singer (minor, non-union) — OPTIONAL</t>
  </si>
  <si>
    <t xml:space="preserve">(1301e)</t>
  </si>
  <si>
    <t xml:space="preserve">Studio Teacher (required when minor is on-site) — OPTIONAL</t>
  </si>
  <si>
    <t xml:space="preserve">(1302)</t>
  </si>
  <si>
    <t xml:space="preserve">Dance Captain premium (18%)</t>
  </si>
  <si>
    <t xml:space="preserve">(1303)</t>
  </si>
  <si>
    <t xml:space="preserve">Musicians — AFM (5)</t>
  </si>
  <si>
    <t xml:space="preserve">(1304)</t>
  </si>
  <si>
    <t xml:space="preserve">Musician Contractor Premium</t>
  </si>
  <si>
    <t xml:space="preserve">(1305)</t>
  </si>
  <si>
    <t xml:space="preserve">Swings / Understudies (4)</t>
  </si>
  <si>
    <t xml:space="preserve">(1306)</t>
  </si>
  <si>
    <t xml:space="preserve">Stage Manager (PSM, AEA)</t>
  </si>
  <si>
    <t xml:space="preserve">(1307)</t>
  </si>
  <si>
    <t xml:space="preserve">Assistant Stage Managers (AEA, 2)</t>
  </si>
  <si>
    <t xml:space="preserve">(1308)</t>
  </si>
  <si>
    <t xml:space="preserve">Production Assistants (2)</t>
  </si>
  <si>
    <t xml:space="preserve">(1309)</t>
  </si>
  <si>
    <t xml:space="preserve">Company / House Manager</t>
  </si>
  <si>
    <t xml:space="preserve">(1310)</t>
  </si>
  <si>
    <t xml:space="preserve">LED Wall / Media Server Tech</t>
  </si>
  <si>
    <t xml:space="preserve">(1311)</t>
  </si>
  <si>
    <t xml:space="preserve">Lighting Board Op (premium design)</t>
  </si>
  <si>
    <t xml:space="preserve">(1311a)</t>
  </si>
  <si>
    <t xml:space="preserve">Associate Lighting Designer (running — weekly)</t>
  </si>
  <si>
    <t xml:space="preserve">(1312)</t>
  </si>
  <si>
    <t xml:space="preserve">Sound A1</t>
  </si>
  <si>
    <t xml:space="preserve">(1313)</t>
  </si>
  <si>
    <t xml:space="preserve">Sound A2</t>
  </si>
  <si>
    <t xml:space="preserve">(1314)</t>
  </si>
  <si>
    <t xml:space="preserve">Wardrobe Supervisor</t>
  </si>
  <si>
    <t xml:space="preserve">(1315)</t>
  </si>
  <si>
    <t xml:space="preserve">Dressers (2)</t>
  </si>
  <si>
    <t xml:space="preserve">(1316)</t>
  </si>
  <si>
    <t xml:space="preserve">(1317)</t>
  </si>
  <si>
    <t xml:space="preserve">Scenic / Running Crew</t>
  </si>
  <si>
    <t xml:space="preserve">(1318)</t>
  </si>
  <si>
    <t xml:space="preserve">Audience Shepherd (1 per show × 12 shows × $225 — with radio)</t>
  </si>
  <si>
    <t xml:space="preserve">(1319)</t>
  </si>
  <si>
    <t xml:space="preserve">Front of House Staff / Ushers</t>
  </si>
  <si>
    <t xml:space="preserve">(1320)</t>
  </si>
  <si>
    <t xml:space="preserve">Box Office / Ticketing Staff</t>
  </si>
  <si>
    <t xml:space="preserve">(1320a)</t>
  </si>
  <si>
    <t xml:space="preserve">Bar Staff (2-3 on shift)</t>
  </si>
  <si>
    <t xml:space="preserve">(1320b)</t>
  </si>
  <si>
    <t xml:space="preserve">Gift Shop Staff (1-2 on shift)</t>
  </si>
  <si>
    <t xml:space="preserve">(1321)</t>
  </si>
  <si>
    <t xml:space="preserve">Security (ongoing — event staff)</t>
  </si>
  <si>
    <t xml:space="preserve">(1322)</t>
  </si>
  <si>
    <t xml:space="preserve">AEA Overtime Reserve</t>
  </si>
  <si>
    <t xml:space="preserve">(1323)</t>
  </si>
  <si>
    <t xml:space="preserve">Crew Overtime Reserve</t>
  </si>
  <si>
    <t xml:space="preserve">(1324)</t>
  </si>
  <si>
    <t xml:space="preserve">AEA Health (3 SMs × $190/wk)</t>
  </si>
  <si>
    <t xml:space="preserve">(1325)</t>
  </si>
  <si>
    <t xml:space="preserve">AEA Pension 8% (on AEA SM salaries only)</t>
  </si>
  <si>
    <t xml:space="preserve">(1326)</t>
  </si>
  <si>
    <t xml:space="preserve">AEA New Media 1.5% (on AEA SM salaries only)</t>
  </si>
  <si>
    <t xml:space="preserve">(1327)</t>
  </si>
  <si>
    <t xml:space="preserve">(1327a)</t>
  </si>
  <si>
    <t xml:space="preserve">SDC Weekly Benefits (Director salary: pension+health)</t>
  </si>
  <si>
    <t xml:space="preserve">(1328)</t>
  </si>
  <si>
    <t xml:space="preserve">Payroll Taxes 18% (on W-2 weekly salaries)</t>
  </si>
  <si>
    <t xml:space="preserve">TOTAL 1300 — SALARIES</t>
  </si>
  <si>
    <t xml:space="preserve">(1400) ADVERTISING (WEEKLY)</t>
  </si>
  <si>
    <t xml:space="preserve">(1401)</t>
  </si>
  <si>
    <t xml:space="preserve">Digital / Social Media Ad Spend</t>
  </si>
  <si>
    <t xml:space="preserve">(1402)</t>
  </si>
  <si>
    <t xml:space="preserve">OOH / Transit / Billboard</t>
  </si>
  <si>
    <t xml:space="preserve">(1403)</t>
  </si>
  <si>
    <t xml:space="preserve">Print / Newspaper / Magazine</t>
  </si>
  <si>
    <t xml:space="preserve">(1404)</t>
  </si>
  <si>
    <t xml:space="preserve">Radio / Podcast</t>
  </si>
  <si>
    <t xml:space="preserve">(1405)</t>
  </si>
  <si>
    <t xml:space="preserve">Photography / Video Refresh</t>
  </si>
  <si>
    <t xml:space="preserve">(1406)</t>
  </si>
  <si>
    <t xml:space="preserve">Programs &amp; Printing</t>
  </si>
  <si>
    <t xml:space="preserve">(1407)</t>
  </si>
  <si>
    <t xml:space="preserve">Press Events / Openings</t>
  </si>
  <si>
    <t xml:space="preserve">(1408)</t>
  </si>
  <si>
    <t xml:space="preserve">Group Sales Commissions</t>
  </si>
  <si>
    <t xml:space="preserve">TOTAL 1400 — ADVERTISING</t>
  </si>
  <si>
    <t xml:space="preserve">(1500) VENUE &amp; TECH (WEEKLY)</t>
  </si>
  <si>
    <t xml:space="preserve">(1501)</t>
  </si>
  <si>
    <t xml:space="preserve">Warehouse Rent ($20K/mo ÷ 4)</t>
  </si>
  <si>
    <t xml:space="preserve">(1502)</t>
  </si>
  <si>
    <t xml:space="preserve">Utilities — Electricity (HVAC for large warehouse)</t>
  </si>
  <si>
    <t xml:space="preserve">(1503)</t>
  </si>
  <si>
    <t xml:space="preserve">Utilities — Water / Gas / Trash</t>
  </si>
  <si>
    <t xml:space="preserve">(1504)</t>
  </si>
  <si>
    <t xml:space="preserve">Internet / Phone / Tech Infrastructure</t>
  </si>
  <si>
    <t xml:space="preserve">(1505)</t>
  </si>
  <si>
    <t xml:space="preserve">Equipment Rental Continuing</t>
  </si>
  <si>
    <t xml:space="preserve">(1506)</t>
  </si>
  <si>
    <t xml:space="preserve">Expendables (gel, gaff, batteries, consumables)</t>
  </si>
  <si>
    <t xml:space="preserve">(1507)</t>
  </si>
  <si>
    <t xml:space="preserve">Pest Control / Maintenance Service</t>
  </si>
  <si>
    <t xml:space="preserve">(1508)</t>
  </si>
  <si>
    <t xml:space="preserve">Credit Card / Ticketing Processing (3% GWBOR)</t>
  </si>
  <si>
    <t xml:space="preserve">TOTAL 1500 — VENUE &amp; TECH</t>
  </si>
  <si>
    <t xml:space="preserve">(1600) GENERAL &amp; ADMINISTRATIVE (WEEKLY)</t>
  </si>
  <si>
    <t xml:space="preserve">(1601)</t>
  </si>
  <si>
    <t xml:space="preserve">Insurance Accrual (GL, participant, WC)</t>
  </si>
  <si>
    <t xml:space="preserve">(1602)</t>
  </si>
  <si>
    <t xml:space="preserve">Office / Supplies</t>
  </si>
  <si>
    <t xml:space="preserve">(1603)</t>
  </si>
  <si>
    <t xml:space="preserve">Travel &amp; Housing (continuing)</t>
  </si>
  <si>
    <t xml:space="preserve">(1604)</t>
  </si>
  <si>
    <t xml:space="preserve">Per Diem (out-of-town creatives)</t>
  </si>
  <si>
    <t xml:space="preserve">(1605)</t>
  </si>
  <si>
    <t xml:space="preserve">Storage</t>
  </si>
  <si>
    <t xml:space="preserve">(1606)</t>
  </si>
  <si>
    <t xml:space="preserve">Bank Fees / Misc</t>
  </si>
  <si>
    <t xml:space="preserve">(1607)</t>
  </si>
  <si>
    <t xml:space="preserve">Union Dues Administration</t>
  </si>
  <si>
    <t xml:space="preserve">TOTAL 1600 — GENERAL &amp; ADMINISTRATIVE</t>
  </si>
  <si>
    <t xml:space="preserve">TOTAL WEEKLY OPERATING (WITH teenage singer):</t>
  </si>
  <si>
    <t xml:space="preserve">TOTAL WEEKLY OPERATING (WITHOUT teenage singer):</t>
  </si>
  <si>
    <t xml:space="preserve">Note: "Without" total excludes minor salary, studio teacher, and proportional payroll tax.</t>
  </si>
  <si>
    <t xml:space="preserve">Compensation Structure Notes:</t>
  </si>
  <si>
    <t xml:space="preserve">• NO ROYALTIES in this model — no GWBOR-based payments to any creative.</t>
  </si>
  <si>
    <t xml:space="preserve">• Director (Scoville): $2,500/wk salary + SDC benefits (in lieu of the standard 2% GWBOR royalty).</t>
  </si>
  <si>
    <t xml:space="preserve">• Writer / Author: $2,500/wk salary + $35K pre-opening fee (in lieu of the standard 4.5% GWBOR royalty).</t>
  </si>
  <si>
    <t xml:space="preserve">• Choreographer, Designers, Producer: upfront fee only (fully paid in production budget, no back-end royalty).</t>
  </si>
  <si>
    <t xml:space="preserve">• Hodge composition rights: no royalty (rights owned by production). No music licensing royalty line.</t>
  </si>
  <si>
    <t xml:space="preserve">• Trade-off: lower fixed weekly overhead, but creatives forgo upside — harder to attract A-list talent long-term.</t>
  </si>
  <si>
    <t xml:space="preserve">• If any creative insists on a royalty, substitute an equivalent weekly salary at ~1.5-2% of GWBOR potential ($2,700/wk).</t>
  </si>
  <si>
    <t xml:space="preserve">SEATING PLAN &amp; GROSS POTENTIAL — TIERED WITHIN-SHOW PRICING</t>
  </si>
  <si>
    <t xml:space="preserve">150-cap immersive · 12 shows/week · Every show has Community pricing</t>
  </si>
  <si>
    <t xml:space="preserve">Capacity per Show:</t>
  </si>
  <si>
    <t xml:space="preserve">Shows per Week:</t>
  </si>
  <si>
    <t xml:space="preserve">Weekly Capacity (seats):</t>
  </si>
  <si>
    <t xml:space="preserve">Day</t>
  </si>
  <si>
    <t xml:space="preserve">Tier</t>
  </si>
  <si>
    <t xml:space="preserve">Shows/Wk</t>
  </si>
  <si>
    <t xml:space="preserve">Seats/Show</t>
  </si>
  <si>
    <t xml:space="preserve">Price</t>
  </si>
  <si>
    <t xml:space="preserve">Weekly Gross</t>
  </si>
  <si>
    <t xml:space="preserve">Thursday — COMMUNITY NIGHT</t>
  </si>
  <si>
    <t xml:space="preserve">Community</t>
  </si>
  <si>
    <t xml:space="preserve">Standard</t>
  </si>
  <si>
    <t xml:space="preserve">Premium</t>
  </si>
  <si>
    <t xml:space="preserve">Friday</t>
  </si>
  <si>
    <t xml:space="preserve">Saturday — PEAK</t>
  </si>
  <si>
    <t xml:space="preserve">VIP (bar + shop voucher)</t>
  </si>
  <si>
    <t xml:space="preserve">Sunday</t>
  </si>
  <si>
    <t xml:space="preserve">WEEKLY GROSS POTENTIAL (100%):</t>
  </si>
  <si>
    <t xml:space="preserve">Weighted Average Ticket Price:</t>
  </si>
  <si>
    <t xml:space="preserve">Weekly Community Seats (accessible tier):</t>
  </si>
  <si>
    <t xml:space="preserve">Capacity Scenarios:</t>
  </si>
  <si>
    <t xml:space="preserve">Capacity %</t>
  </si>
  <si>
    <t xml:space="preserve">Tickets/Wk</t>
  </si>
  <si>
    <t xml:space="preserve">Avg Price</t>
  </si>
  <si>
    <t xml:space="preserve">110%</t>
  </si>
  <si>
    <t xml:space="preserve">60%</t>
  </si>
  <si>
    <t xml:space="preserve">50%</t>
  </si>
  <si>
    <t xml:space="preserve">Pricing Philosophy:</t>
  </si>
  <si>
    <t xml:space="preserve">• Within-show tiered pricing: every performance has Community seats — accessibility is built into every show, not isolated to one night.</t>
  </si>
  <si>
    <t xml:space="preserve">• Community tier ($40-60) = accessible for students, LA neighborhood partners, Get Lit alumni, nonprofit coalitions.</t>
  </si>
  <si>
    <t xml:space="preserve">• Standard tier = market-rate ticket for general audience.</t>
  </si>
  <si>
    <t xml:space="preserve">• Premium tier = committed theatergoers / tourists / immersive enthusiasts.</t>
  </si>
  <si>
    <t xml:space="preserve">• VIP tier (Saturday only, 20 seats/show) = bar credit + gift shop voucher + priority entry. Effectively subsidizes Community tier.</t>
  </si>
  <si>
    <t xml:space="preserve">• Weighted avg ~$91/ticket (vs. $99 in v2) — meaningful reduction via access tier on every performance.</t>
  </si>
  <si>
    <t xml:space="preserve">• Thursday Community Night reserves 80 of 150 seats at $40 — the deepest access slot in the week.</t>
  </si>
  <si>
    <t xml:space="preserve">• 110% capacity scenario = bar, gift shop, merch, concessions, group add-ons. Real upside not modeled in GWBOR.</t>
  </si>
  <si>
    <t xml:space="preserve">RECOUPMENT SCHEDULE</t>
  </si>
  <si>
    <t xml:space="preserve">Weeks to recoup capitalization — no-royalty model</t>
  </si>
  <si>
    <t xml:space="preserve">Total Capitalization:</t>
  </si>
  <si>
    <t xml:space="preserve">Weekly Operating Cost (at 100% GWBOR):</t>
  </si>
  <si>
    <t xml:space="preserve">Weekly GWBOR</t>
  </si>
  <si>
    <t xml:space="preserve">Weekly Op Cost</t>
  </si>
  <si>
    <t xml:space="preserve">Months to Recoup</t>
  </si>
  <si>
    <t xml:space="preserve">95%</t>
  </si>
  <si>
    <t xml:space="preserve">55%</t>
  </si>
  <si>
    <t xml:space="preserve">45%</t>
  </si>
  <si>
    <t xml:space="preserve">BREAKEVEN CAPACITY:</t>
  </si>
  <si>
    <t xml:space="preserve">Breakeven Weekly GWBOR:</t>
  </si>
  <si>
    <t xml:space="preserve">Breakeven Avg Tickets / Show:</t>
  </si>
  <si>
    <t xml:space="preserve">Notes:</t>
  </si>
  <si>
    <t xml:space="preserve">• Only ~3% of weekly op varies with capacity (CC fees). No royalties means far more fixed overhead.</t>
  </si>
  <si>
    <t xml:space="preserve">• NO ROYALTY model means breakeven is determined almost entirely by fixed weekly operating costs.</t>
  </si>
  <si>
    <t xml:space="preserve">• Show scheduled for 60-week run; any scenario requiring &gt;60 weeks does not recoup within the run.</t>
  </si>
  <si>
    <t xml:space="preserve">• Does NOT include bar, gift shop, concessions revenue — these are real upside with expanded lobby.</t>
  </si>
  <si>
    <t xml:space="preserve">• Bar + gift shop could add 15-25% to gross revenue — conservative models add $15-30K/wk.</t>
  </si>
  <si>
    <t xml:space="preserve">• Without royalties, creative team has zero upside participation — may limit future revivals/licensing.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</si>
</sst>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;&quot;($&quot;#,##0\);\-"/>
    <numFmt numFmtId="166" formatCode="0.0%"/>
    <numFmt numFmtId="167" formatCode="#,##0"/>
    <numFmt numFmtId="168" formatCode="#,##0;\(#,##0\);\-"/>
    <numFmt numFmtId="169" formatCode="#,##0.0"/>
    <numFmt numFmtId="170" formatCode="#,##0;\(#,##0\);\-"/>
    <numFmt numFmtId="171" formatCode="\$#,##0;&quot;($&quot;#,##0\);\-"/>
  </numFmts>
  <fonts count="3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28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i val="true"/>
      <sz val="9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b val="true"/>
      <sz val="20"/>
      <color rgb="FF1F3864"/>
      <name val="Arial"/>
      <family val="0"/>
      <charset val="1"/>
    </font>
    <font>
      <b val="true"/>
      <sz val="20"/>
      <color rgb="FFC00000"/>
      <name val="Arial"/>
      <family val="0"/>
      <charset val="1"/>
    </font>
    <font>
      <b val="true"/>
      <sz val="20"/>
      <color rgb="FF4472C4"/>
      <name val="Arial"/>
      <family val="0"/>
      <charset val="1"/>
    </font>
    <font>
      <b val="true"/>
      <sz val="22"/>
      <color rgb="FF1F3864"/>
      <name val="Arial"/>
      <family val="0"/>
      <charset val="1"/>
    </font>
    <font>
      <b val="true"/>
      <sz val="22"/>
      <color rgb="FFC00000"/>
      <name val="Arial"/>
      <family val="0"/>
      <charset val="1"/>
    </font>
    <font>
      <b val="true"/>
      <sz val="22"/>
      <color rgb="FF4472C4"/>
      <name val="Arial"/>
      <family val="0"/>
      <charset val="1"/>
    </font>
    <font>
      <b val="true"/>
      <sz val="22"/>
      <color rgb="FF404040"/>
      <name val="Arial"/>
      <family val="0"/>
      <charset val="1"/>
    </font>
    <font>
      <b val="true"/>
      <i val="true"/>
      <sz val="10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C00000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i val="true"/>
      <sz val="9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F2F2F2"/>
        <bgColor rgb="FFFFFFFF"/>
      </patternFill>
    </fill>
    <fill>
      <patternFill patternType="solid">
        <fgColor rgb="FF2E5A9B"/>
        <bgColor rgb="FF4472C4"/>
      </patternFill>
    </fill>
    <fill>
      <patternFill patternType="solid">
        <fgColor rgb="FFC00000"/>
        <bgColor rgb="FF800000"/>
      </patternFill>
    </fill>
    <fill>
      <patternFill patternType="solid">
        <fgColor rgb="FFD9E1F2"/>
        <bgColor rgb="FFF2F2F2"/>
      </patternFill>
    </fill>
    <fill>
      <patternFill patternType="solid">
        <fgColor rgb="FF4472C4"/>
        <bgColor rgb="FF2E5A9B"/>
      </patternFill>
    </fill>
    <fill>
      <patternFill patternType="solid">
        <fgColor rgb="FF404040"/>
        <bgColor rgb="FF1F3864"/>
      </patternFill>
    </fill>
    <fill>
      <patternFill patternType="solid">
        <fgColor rgb="FFFFE699"/>
        <bgColor rgb="FFFFCC99"/>
      </patternFill>
    </fill>
    <fill>
      <patternFill patternType="solid">
        <fgColor rgb="FF548235"/>
        <bgColor rgb="FF3399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1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2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1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2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2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5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25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3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3" fillId="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33" fillId="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3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3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3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7" fontId="3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3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3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3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3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1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1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11" fillId="1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8" fontId="33" fillId="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A9B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8"/>
    <col collapsed="false" customWidth="true" hidden="false" outlineLevel="0" max="3" min="3" style="1" width="16"/>
    <col collapsed="false" customWidth="true" hidden="false" outlineLevel="0" max="4" min="4" style="1" width="3"/>
    <col collapsed="false" customWidth="true" hidden="false" outlineLevel="0" max="5" min="5" style="1" width="38"/>
    <col collapsed="false" customWidth="true" hidden="false" outlineLevel="0" max="6" min="6" style="1" width="16"/>
    <col collapsed="false" customWidth="true" hidden="false" outlineLevel="0" max="7" min="7" style="1" width="2"/>
  </cols>
  <sheetData>
    <row r="1" customFormat="false" ht="7.5" hidden="false" customHeight="true" outlineLevel="0" collapsed="false">
      <c r="A1" s="2"/>
      <c r="B1" s="2"/>
      <c r="C1" s="2"/>
      <c r="D1" s="2"/>
      <c r="E1" s="2"/>
      <c r="F1" s="2"/>
      <c r="G1" s="2"/>
    </row>
    <row r="2" customFormat="false" ht="25.5" hidden="false" customHeight="true" outlineLevel="0" collapsed="false">
      <c r="B2" s="3" t="s">
        <v>0</v>
      </c>
      <c r="C2" s="3"/>
      <c r="D2" s="3"/>
      <c r="E2" s="3"/>
      <c r="F2" s="3"/>
    </row>
    <row r="3" customFormat="false" ht="15" hidden="false" customHeight="true" outlineLevel="0" collapsed="false">
      <c r="B3" s="4" t="s">
        <v>1</v>
      </c>
      <c r="C3" s="4"/>
      <c r="D3" s="4"/>
      <c r="E3" s="4"/>
      <c r="F3" s="4"/>
    </row>
    <row r="4" customFormat="false" ht="3.75" hidden="false" customHeight="true" outlineLevel="0" collapsed="false"/>
    <row r="5" customFormat="false" ht="18" hidden="false" customHeight="true" outlineLevel="0" collapsed="false">
      <c r="B5" s="5" t="s">
        <v>2</v>
      </c>
      <c r="C5" s="5"/>
      <c r="E5" s="5" t="s">
        <v>3</v>
      </c>
      <c r="F5" s="5"/>
    </row>
    <row r="6" customFormat="false" ht="15.75" hidden="false" customHeight="true" outlineLevel="0" collapsed="false">
      <c r="B6" s="6" t="n">
        <f aca="false">'Production Budget'!F263</f>
        <v>5965767.288</v>
      </c>
      <c r="C6" s="6"/>
      <c r="E6" s="7" t="s">
        <v>4</v>
      </c>
      <c r="F6" s="8" t="n">
        <f aca="false">'Seating Plan'!F28</f>
        <v>163000</v>
      </c>
    </row>
    <row r="7" customFormat="false" ht="15.75" hidden="false" customHeight="true" outlineLevel="0" collapsed="false">
      <c r="B7" s="6"/>
      <c r="C7" s="6"/>
      <c r="E7" s="7" t="s">
        <v>5</v>
      </c>
      <c r="F7" s="8" t="n">
        <f aca="false">'Weekly Operating'!F123</f>
        <v>106265.5</v>
      </c>
    </row>
    <row r="8" customFormat="false" ht="15.75" hidden="false" customHeight="true" outlineLevel="0" collapsed="false">
      <c r="B8" s="6"/>
      <c r="C8" s="6"/>
      <c r="E8" s="7" t="s">
        <v>6</v>
      </c>
      <c r="F8" s="8" t="n">
        <f aca="false">'Seating Plan'!F28-'Weekly Operating'!F123</f>
        <v>56734.5</v>
      </c>
    </row>
    <row r="9" customFormat="false" ht="15.75" hidden="false" customHeight="true" outlineLevel="0" collapsed="false">
      <c r="B9" s="9" t="s">
        <v>7</v>
      </c>
      <c r="C9" s="9"/>
      <c r="E9" s="7" t="s">
        <v>8</v>
      </c>
      <c r="F9" s="10" t="n">
        <f aca="false">Recoupment!C28</f>
        <v>0.641170703940295</v>
      </c>
    </row>
    <row r="10" customFormat="false" ht="15.75" hidden="false" customHeight="true" outlineLevel="0" collapsed="false">
      <c r="E10" s="7" t="s">
        <v>9</v>
      </c>
      <c r="F10" s="8" t="n">
        <f aca="false">'Seating Plan'!F28/'Seating Plan'!C11</f>
        <v>90.5555555555556</v>
      </c>
    </row>
    <row r="11" customFormat="false" ht="9.75" hidden="false" customHeight="true" outlineLevel="0" collapsed="false"/>
    <row r="12" customFormat="false" ht="15" hidden="false" customHeight="true" outlineLevel="0" collapsed="false">
      <c r="B12" s="11" t="s">
        <v>10</v>
      </c>
      <c r="C12" s="11"/>
      <c r="E12" s="11" t="s">
        <v>11</v>
      </c>
      <c r="F12" s="11"/>
    </row>
    <row r="13" customFormat="false" ht="13.5" hidden="false" customHeight="true" outlineLevel="0" collapsed="false">
      <c r="B13" s="7" t="s">
        <v>12</v>
      </c>
      <c r="C13" s="12" t="n">
        <f aca="false">'Production Budget'!F40</f>
        <v>2314250</v>
      </c>
      <c r="E13" s="7" t="s">
        <v>13</v>
      </c>
      <c r="F13" s="12" t="n">
        <f aca="false">'Weekly Operating'!F23</f>
        <v>9300</v>
      </c>
    </row>
    <row r="14" customFormat="false" ht="13.5" hidden="false" customHeight="true" outlineLevel="0" collapsed="false">
      <c r="B14" s="7" t="s">
        <v>14</v>
      </c>
      <c r="C14" s="12" t="n">
        <f aca="false">'Production Budget'!F90</f>
        <v>1008879</v>
      </c>
      <c r="E14" s="7" t="s">
        <v>15</v>
      </c>
      <c r="F14" s="12" t="n">
        <f aca="false">'Weekly Operating'!F39</f>
        <v>7900</v>
      </c>
    </row>
    <row r="15" customFormat="false" ht="13.5" hidden="false" customHeight="true" outlineLevel="0" collapsed="false">
      <c r="B15" s="7" t="s">
        <v>16</v>
      </c>
      <c r="C15" s="12" t="n">
        <f aca="false">'Production Budget'!F135</f>
        <v>394919.48</v>
      </c>
      <c r="E15" s="7" t="s">
        <v>17</v>
      </c>
      <c r="F15" s="12" t="n">
        <f aca="false">'Weekly Operating'!F83</f>
        <v>67415.5</v>
      </c>
    </row>
    <row r="16" customFormat="false" ht="13.5" hidden="false" customHeight="true" outlineLevel="0" collapsed="false">
      <c r="B16" s="7" t="s">
        <v>18</v>
      </c>
      <c r="C16" s="12" t="n">
        <f aca="false">'Production Budget'!F150</f>
        <v>53500</v>
      </c>
      <c r="E16" s="7" t="s">
        <v>19</v>
      </c>
      <c r="F16" s="12" t="n">
        <f aca="false">'Weekly Operating'!F96</f>
        <v>10100</v>
      </c>
    </row>
    <row r="17" customFormat="false" ht="13.5" hidden="false" customHeight="true" outlineLevel="0" collapsed="false">
      <c r="B17" s="7" t="s">
        <v>20</v>
      </c>
      <c r="C17" s="12" t="n">
        <f aca="false">'Production Budget'!F166</f>
        <v>51400</v>
      </c>
      <c r="E17" s="7" t="s">
        <v>21</v>
      </c>
      <c r="F17" s="12" t="n">
        <f aca="false">'Weekly Operating'!F109</f>
        <v>8400</v>
      </c>
    </row>
    <row r="18" customFormat="false" ht="13.5" hidden="false" customHeight="true" outlineLevel="0" collapsed="false">
      <c r="B18" s="7" t="s">
        <v>22</v>
      </c>
      <c r="C18" s="12" t="n">
        <f aca="false">'Production Budget'!F187</f>
        <v>754500</v>
      </c>
      <c r="E18" s="7" t="s">
        <v>23</v>
      </c>
      <c r="F18" s="12" t="n">
        <f aca="false">'Weekly Operating'!F121</f>
        <v>3150</v>
      </c>
    </row>
    <row r="19" customFormat="false" ht="13.5" hidden="false" customHeight="true" outlineLevel="0" collapsed="false">
      <c r="B19" s="7" t="s">
        <v>24</v>
      </c>
      <c r="C19" s="12" t="n">
        <f aca="false">'Production Budget'!F210</f>
        <v>190793.6</v>
      </c>
      <c r="E19" s="7"/>
    </row>
    <row r="20" customFormat="false" ht="13.5" hidden="false" customHeight="true" outlineLevel="0" collapsed="false">
      <c r="B20" s="7" t="s">
        <v>23</v>
      </c>
      <c r="C20" s="12" t="n">
        <f aca="false">'Production Budget'!F225</f>
        <v>174700</v>
      </c>
      <c r="E20" s="7"/>
    </row>
    <row r="21" customFormat="false" ht="18" hidden="false" customHeight="true" outlineLevel="0" collapsed="false">
      <c r="B21" s="7" t="s">
        <v>25</v>
      </c>
      <c r="C21" s="12" t="n">
        <f aca="false">'Production Budget'!F233</f>
        <v>75000</v>
      </c>
      <c r="E21" s="13" t="s">
        <v>26</v>
      </c>
      <c r="F21" s="14" t="n">
        <f aca="false">'Weekly Operating'!F123</f>
        <v>106265.5</v>
      </c>
    </row>
    <row r="22" customFormat="false" ht="15" hidden="false" customHeight="true" outlineLevel="0" collapsed="false">
      <c r="B22" s="15" t="s">
        <v>27</v>
      </c>
      <c r="C22" s="16" t="n">
        <f aca="false">'Production Budget'!F235</f>
        <v>5017942.08</v>
      </c>
    </row>
    <row r="23" customFormat="false" ht="15" hidden="false" customHeight="true" outlineLevel="0" collapsed="false">
      <c r="B23" s="7" t="s">
        <v>28</v>
      </c>
      <c r="C23" s="12" t="n">
        <f aca="false">'Production Budget'!F252</f>
        <v>233500</v>
      </c>
    </row>
    <row r="24" customFormat="false" ht="15" hidden="false" customHeight="true" outlineLevel="0" collapsed="false">
      <c r="B24" s="7" t="s">
        <v>29</v>
      </c>
      <c r="C24" s="12" t="n">
        <f aca="false">'Production Budget'!F261</f>
        <v>714325.208</v>
      </c>
    </row>
    <row r="25" customFormat="false" ht="9.75" hidden="false" customHeight="true" outlineLevel="0" collapsed="false">
      <c r="B25" s="13" t="s">
        <v>30</v>
      </c>
      <c r="C25" s="14" t="n">
        <f aca="false">'Production Budget'!F263</f>
        <v>5965767.288</v>
      </c>
    </row>
    <row r="26" customFormat="false" ht="15" hidden="false" customHeight="true" outlineLevel="0" collapsed="false">
      <c r="B26" s="5" t="s">
        <v>31</v>
      </c>
      <c r="C26" s="5"/>
      <c r="D26" s="5"/>
      <c r="E26" s="5"/>
      <c r="F26" s="5"/>
    </row>
    <row r="27" customFormat="false" ht="15" hidden="false" customHeight="true" outlineLevel="0" collapsed="false">
      <c r="B27" s="17" t="s">
        <v>32</v>
      </c>
      <c r="C27" s="18" t="s">
        <v>33</v>
      </c>
      <c r="D27" s="18" t="s">
        <v>34</v>
      </c>
      <c r="E27" s="18" t="s">
        <v>35</v>
      </c>
      <c r="F27" s="18" t="s">
        <v>36</v>
      </c>
      <c r="G27" s="18" t="s">
        <v>37</v>
      </c>
    </row>
    <row r="28" customFormat="false" ht="15" hidden="false" customHeight="true" outlineLevel="0" collapsed="false">
      <c r="B28" s="7" t="s">
        <v>38</v>
      </c>
      <c r="C28" s="12" t="n">
        <f aca="false">('Seating Plan'!F28*1)-(('Weekly Operating'!F123-0.03*'Seating Plan'!F28)+0.03*1*'Seating Plan'!F28)</f>
        <v>56734.5</v>
      </c>
      <c r="D28" s="12" t="n">
        <f aca="false">('Seating Plan'!F28*0.9)-(('Weekly Operating'!F123-0.03*'Seating Plan'!F28)+0.03*0.9*'Seating Plan'!F28)</f>
        <v>40923.5</v>
      </c>
      <c r="E28" s="12" t="n">
        <f aca="false">('Seating Plan'!F28*0.8)-(('Weekly Operating'!F123-0.03*'Seating Plan'!F28)+0.03*0.8*'Seating Plan'!F28)</f>
        <v>25112.5</v>
      </c>
      <c r="F28" s="12" t="n">
        <f aca="false">('Seating Plan'!F28*0.75)-(('Weekly Operating'!F123-0.03*'Seating Plan'!F28)+0.03*0.75*'Seating Plan'!F28)</f>
        <v>17207</v>
      </c>
      <c r="G28" s="12" t="n">
        <f aca="false">('Seating Plan'!F28*0.7)-(('Weekly Operating'!F123-0.03*'Seating Plan'!F28)+0.03*0.7*'Seating Plan'!F28)</f>
        <v>9301.5</v>
      </c>
    </row>
    <row r="29" customFormat="false" ht="15" hidden="false" customHeight="true" outlineLevel="0" collapsed="false">
      <c r="B29" s="19" t="s">
        <v>39</v>
      </c>
      <c r="C29" s="20" t="n">
        <f aca="false">IF(('Seating Plan'!F28*1-(('Weekly Operating'!F123-0.03*'Seating Plan'!F28)+0.03*1*'Seating Plan'!F28))&gt;0,'Production Budget'!F263/('Seating Plan'!F28*1-(('Weekly Operating'!F123-0.03*'Seating Plan'!F28)+0.03*1*'Seating Plan'!F28)),"—")</f>
        <v>105.152372683288</v>
      </c>
      <c r="D29" s="20" t="n">
        <f aca="false">IF(('Seating Plan'!F28*0.9-(('Weekly Operating'!F123-0.03*'Seating Plan'!F28)+0.03*0.9*'Seating Plan'!F28))&gt;0,'Production Budget'!F263/('Seating Plan'!F28*0.9-(('Weekly Operating'!F123-0.03*'Seating Plan'!F28)+0.03*0.9*'Seating Plan'!F28)),"—")</f>
        <v>145.77852060552</v>
      </c>
      <c r="E29" s="20" t="n">
        <f aca="false">IF(('Seating Plan'!F28*0.8-(('Weekly Operating'!F123-0.03*'Seating Plan'!F28)+0.03*0.8*'Seating Plan'!F28))&gt;0,'Production Budget'!F263/('Seating Plan'!F28*0.8-(('Weekly Operating'!F123-0.03*'Seating Plan'!F28)+0.03*0.8*'Seating Plan'!F28)),"—")</f>
        <v>237.561664031857</v>
      </c>
      <c r="F29" s="20" t="n">
        <f aca="false">IF(('Seating Plan'!F28*0.75-(('Weekly Operating'!F123-0.03*'Seating Plan'!F28)+0.03*0.75*'Seating Plan'!F28))&gt;0,'Production Budget'!F263/('Seating Plan'!F28*0.75-(('Weekly Operating'!F123-0.03*'Seating Plan'!F28)+0.03*0.75*'Seating Plan'!F28)),"—")</f>
        <v>346.70583413727</v>
      </c>
      <c r="G29" s="20" t="n">
        <f aca="false">IF(('Seating Plan'!F28*0.7-(('Weekly Operating'!F123-0.03*'Seating Plan'!F28)+0.03*0.7*'Seating Plan'!F28))&gt;0,'Production Budget'!F263/('Seating Plan'!F28*0.7-(('Weekly Operating'!F123-0.03*'Seating Plan'!F28)+0.03*0.7*'Seating Plan'!F28)),"—")</f>
        <v>641.376905660378</v>
      </c>
    </row>
    <row r="31" customFormat="false" ht="15" hidden="false" customHeight="true" outlineLevel="0" collapsed="false">
      <c r="B31" s="21" t="s">
        <v>40</v>
      </c>
      <c r="C31" s="21"/>
      <c r="D31" s="21"/>
      <c r="E31" s="21"/>
      <c r="F31" s="21"/>
    </row>
    <row r="32" customFormat="false" ht="15" hidden="false" customHeight="true" outlineLevel="0" collapsed="false">
      <c r="B32" s="21" t="s">
        <v>41</v>
      </c>
      <c r="C32" s="21"/>
      <c r="D32" s="21"/>
      <c r="E32" s="21"/>
      <c r="F32" s="21"/>
    </row>
  </sheetData>
  <mergeCells count="11">
    <mergeCell ref="B2:F2"/>
    <mergeCell ref="B3:F3"/>
    <mergeCell ref="B5:C5"/>
    <mergeCell ref="E5:F5"/>
    <mergeCell ref="B6:C8"/>
    <mergeCell ref="B9:C9"/>
    <mergeCell ref="B12:C12"/>
    <mergeCell ref="E12:F12"/>
    <mergeCell ref="B26:F26"/>
    <mergeCell ref="B31:F31"/>
    <mergeCell ref="B32:F3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4"/>
    <col collapsed="false" customWidth="true" hidden="false" outlineLevel="0" max="6" min="3" style="1" width="16"/>
    <col collapsed="false" customWidth="true" hidden="false" outlineLevel="0" max="7" min="7" style="1" width="2"/>
  </cols>
  <sheetData>
    <row r="1" customFormat="false" ht="15" hidden="false" customHeight="true" outlineLevel="0" collapsed="false">
      <c r="A1" s="2"/>
      <c r="B1" s="2"/>
      <c r="C1" s="2"/>
      <c r="D1" s="2"/>
      <c r="E1" s="2"/>
      <c r="F1" s="2"/>
      <c r="G1" s="2"/>
    </row>
    <row r="2" customFormat="false" ht="27.75" hidden="false" customHeight="true" outlineLevel="0" collapsed="false">
      <c r="B2" s="22" t="s">
        <v>0</v>
      </c>
      <c r="C2" s="22"/>
      <c r="D2" s="22"/>
      <c r="E2" s="22"/>
      <c r="F2" s="22"/>
    </row>
    <row r="3" customFormat="false" ht="15" hidden="false" customHeight="true" outlineLevel="0" collapsed="false">
      <c r="B3" s="4" t="s">
        <v>42</v>
      </c>
      <c r="C3" s="4"/>
      <c r="D3" s="4"/>
      <c r="E3" s="4"/>
      <c r="F3" s="4"/>
    </row>
    <row r="5" customFormat="false" ht="19.5" hidden="false" customHeight="true" outlineLevel="0" collapsed="false">
      <c r="B5" s="23" t="s">
        <v>43</v>
      </c>
      <c r="C5" s="23"/>
      <c r="D5" s="23"/>
      <c r="E5" s="23"/>
      <c r="F5" s="23"/>
    </row>
    <row r="6" customFormat="false" ht="15.75" hidden="false" customHeight="true" outlineLevel="0" collapsed="false">
      <c r="B6" s="24" t="s">
        <v>44</v>
      </c>
      <c r="C6" s="24"/>
      <c r="D6" s="24"/>
      <c r="E6" s="24"/>
      <c r="F6" s="24"/>
    </row>
    <row r="7" customFormat="false" ht="15.75" hidden="false" customHeight="true" outlineLevel="0" collapsed="false">
      <c r="B7" s="24" t="s">
        <v>45</v>
      </c>
      <c r="C7" s="24"/>
      <c r="D7" s="24"/>
      <c r="E7" s="24"/>
      <c r="F7" s="24"/>
    </row>
    <row r="8" customFormat="false" ht="15.75" hidden="false" customHeight="true" outlineLevel="0" collapsed="false">
      <c r="B8" s="24" t="s">
        <v>46</v>
      </c>
      <c r="C8" s="24"/>
      <c r="D8" s="24"/>
      <c r="E8" s="24"/>
      <c r="F8" s="24"/>
    </row>
    <row r="9" customFormat="false" ht="15.75" hidden="false" customHeight="true" outlineLevel="0" collapsed="false">
      <c r="B9" s="24" t="s">
        <v>47</v>
      </c>
      <c r="C9" s="24"/>
      <c r="D9" s="24"/>
      <c r="E9" s="24"/>
      <c r="F9" s="24"/>
    </row>
    <row r="11" customFormat="false" ht="19.5" hidden="false" customHeight="true" outlineLevel="0" collapsed="false">
      <c r="B11" s="23" t="s">
        <v>2</v>
      </c>
      <c r="C11" s="23"/>
      <c r="D11" s="23"/>
      <c r="E11" s="23"/>
      <c r="F11" s="23"/>
    </row>
    <row r="12" customFormat="false" ht="15" hidden="false" customHeight="true" outlineLevel="0" collapsed="false">
      <c r="B12" s="25" t="s">
        <v>48</v>
      </c>
      <c r="C12" s="25"/>
      <c r="D12" s="26" t="s">
        <v>49</v>
      </c>
      <c r="E12" s="26"/>
      <c r="F12" s="27" t="s">
        <v>50</v>
      </c>
    </row>
    <row r="13" customFormat="false" ht="31.5" hidden="false" customHeight="true" outlineLevel="0" collapsed="false">
      <c r="B13" s="28" t="n">
        <f aca="false">'Production Budget'!F263</f>
        <v>5965767.288</v>
      </c>
      <c r="C13" s="28"/>
      <c r="D13" s="29" t="n">
        <f aca="false">'Production Budget'!F263*0.55</f>
        <v>3281172.0084</v>
      </c>
      <c r="E13" s="29"/>
      <c r="F13" s="30" t="n">
        <f aca="false">'Seating Plan'!F28</f>
        <v>163000</v>
      </c>
    </row>
    <row r="15" customFormat="false" ht="19.5" hidden="false" customHeight="true" outlineLevel="0" collapsed="false">
      <c r="B15" s="23" t="s">
        <v>51</v>
      </c>
      <c r="C15" s="23"/>
      <c r="D15" s="23"/>
      <c r="E15" s="23"/>
      <c r="F15" s="23"/>
    </row>
    <row r="16" customFormat="false" ht="15" hidden="false" customHeight="true" outlineLevel="0" collapsed="false">
      <c r="B16" s="17" t="s">
        <v>52</v>
      </c>
      <c r="C16" s="18" t="s">
        <v>53</v>
      </c>
      <c r="D16" s="18" t="s">
        <v>54</v>
      </c>
      <c r="E16" s="31" t="s">
        <v>55</v>
      </c>
      <c r="F16" s="31"/>
    </row>
    <row r="17" customFormat="false" ht="21.75" hidden="false" customHeight="true" outlineLevel="0" collapsed="false">
      <c r="B17" s="7" t="s">
        <v>56</v>
      </c>
      <c r="C17" s="12" t="n">
        <f aca="false">'Production Budget'!F40</f>
        <v>2314250</v>
      </c>
      <c r="D17" s="32" t="n">
        <f aca="false">C17/'Production Budget'!F263</f>
        <v>0.387921601409941</v>
      </c>
      <c r="E17" s="21" t="s">
        <v>57</v>
      </c>
      <c r="F17" s="21"/>
    </row>
    <row r="18" customFormat="false" ht="21.75" hidden="false" customHeight="true" outlineLevel="0" collapsed="false">
      <c r="B18" s="7" t="s">
        <v>14</v>
      </c>
      <c r="C18" s="12" t="n">
        <f aca="false">'Production Budget'!F90</f>
        <v>1008879</v>
      </c>
      <c r="D18" s="32" t="n">
        <f aca="false">C18/'Production Budget'!F263</f>
        <v>0.169111356728469</v>
      </c>
      <c r="E18" s="21" t="s">
        <v>58</v>
      </c>
      <c r="F18" s="21"/>
    </row>
    <row r="19" customFormat="false" ht="21.75" hidden="false" customHeight="true" outlineLevel="0" collapsed="false">
      <c r="B19" s="7" t="s">
        <v>16</v>
      </c>
      <c r="C19" s="12" t="n">
        <f aca="false">'Production Budget'!F135</f>
        <v>394919.48</v>
      </c>
      <c r="D19" s="32" t="n">
        <f aca="false">C19/'Production Budget'!F263</f>
        <v>0.0661976005658771</v>
      </c>
      <c r="E19" s="21" t="s">
        <v>59</v>
      </c>
      <c r="F19" s="21"/>
    </row>
    <row r="20" customFormat="false" ht="21.75" hidden="false" customHeight="true" outlineLevel="0" collapsed="false">
      <c r="B20" s="7" t="s">
        <v>60</v>
      </c>
      <c r="C20" s="12" t="n">
        <f aca="false">'Production Budget'!F187</f>
        <v>754500</v>
      </c>
      <c r="D20" s="32" t="n">
        <f aca="false">C20/'Production Budget'!F263</f>
        <v>0.126471577514875</v>
      </c>
      <c r="E20" s="21" t="s">
        <v>61</v>
      </c>
      <c r="F20" s="21"/>
    </row>
    <row r="21" customFormat="false" ht="21.75" hidden="false" customHeight="true" outlineLevel="0" collapsed="false">
      <c r="B21" s="7" t="s">
        <v>62</v>
      </c>
      <c r="C21" s="12" t="n">
        <f aca="false">'Production Budget'!F210</f>
        <v>190793.6</v>
      </c>
      <c r="D21" s="32" t="n">
        <f aca="false">C21/'Production Budget'!F263</f>
        <v>0.0319814016855429</v>
      </c>
      <c r="E21" s="21" t="s">
        <v>63</v>
      </c>
      <c r="F21" s="21"/>
    </row>
    <row r="22" customFormat="false" ht="21.75" hidden="false" customHeight="true" outlineLevel="0" collapsed="false">
      <c r="B22" s="7" t="s">
        <v>64</v>
      </c>
      <c r="C22" s="12" t="n">
        <f aca="false">'Production Budget'!F150+'Production Budget'!F166+'Production Budget'!F233</f>
        <v>179900</v>
      </c>
      <c r="D22" s="32" t="n">
        <f aca="false">C22/'Production Budget'!F263</f>
        <v>0.030155383426012</v>
      </c>
      <c r="E22" s="21" t="s">
        <v>65</v>
      </c>
      <c r="F22" s="21"/>
    </row>
    <row r="23" customFormat="false" ht="21.75" hidden="false" customHeight="true" outlineLevel="0" collapsed="false">
      <c r="B23" s="7" t="s">
        <v>66</v>
      </c>
      <c r="C23" s="12" t="n">
        <f aca="false">'Production Budget'!F225</f>
        <v>174700</v>
      </c>
      <c r="D23" s="32" t="n">
        <f aca="false">C23/'Production Budget'!F263</f>
        <v>0.029283743660502</v>
      </c>
      <c r="E23" s="21" t="s">
        <v>67</v>
      </c>
      <c r="F23" s="21"/>
    </row>
    <row r="24" customFormat="false" ht="21.75" hidden="false" customHeight="true" outlineLevel="0" collapsed="false">
      <c r="B24" s="7" t="s">
        <v>28</v>
      </c>
      <c r="C24" s="12" t="n">
        <f aca="false">'Production Budget'!F252</f>
        <v>233500</v>
      </c>
      <c r="D24" s="32" t="n">
        <f aca="false">C24/'Production Budget'!F263</f>
        <v>0.039139977932039</v>
      </c>
      <c r="E24" s="21" t="s">
        <v>68</v>
      </c>
      <c r="F24" s="21"/>
    </row>
    <row r="25" customFormat="false" ht="21.75" hidden="false" customHeight="true" outlineLevel="0" collapsed="false">
      <c r="B25" s="7" t="s">
        <v>69</v>
      </c>
      <c r="C25" s="12" t="n">
        <f aca="false">'Production Budget'!F261</f>
        <v>714325.208</v>
      </c>
      <c r="D25" s="32" t="n">
        <f aca="false">C25/'Production Budget'!F263</f>
        <v>0.119737357076742</v>
      </c>
      <c r="E25" s="21" t="s">
        <v>70</v>
      </c>
      <c r="F25" s="21"/>
    </row>
    <row r="26" customFormat="false" ht="19.5" hidden="false" customHeight="true" outlineLevel="0" collapsed="false">
      <c r="B26" s="13" t="s">
        <v>30</v>
      </c>
      <c r="C26" s="14" t="n">
        <f aca="false">SUM(C17:C25)</f>
        <v>5965767.288</v>
      </c>
      <c r="D26" s="33" t="n">
        <v>1</v>
      </c>
      <c r="E26" s="34"/>
      <c r="F26" s="34"/>
    </row>
    <row r="28" customFormat="false" ht="19.5" hidden="false" customHeight="true" outlineLevel="0" collapsed="false">
      <c r="B28" s="23" t="s">
        <v>71</v>
      </c>
      <c r="C28" s="23"/>
      <c r="D28" s="23"/>
      <c r="E28" s="23"/>
      <c r="F28" s="23"/>
    </row>
    <row r="29" customFormat="false" ht="15" hidden="false" customHeight="true" outlineLevel="0" collapsed="false">
      <c r="B29" s="17" t="s">
        <v>72</v>
      </c>
      <c r="C29" s="18" t="s">
        <v>53</v>
      </c>
      <c r="D29" s="18" t="s">
        <v>73</v>
      </c>
      <c r="E29" s="31" t="s">
        <v>74</v>
      </c>
      <c r="F29" s="31"/>
    </row>
    <row r="30" customFormat="false" ht="21.75" hidden="false" customHeight="true" outlineLevel="0" collapsed="false">
      <c r="B30" s="7" t="s">
        <v>75</v>
      </c>
      <c r="C30" s="12" t="n">
        <f aca="false">'Production Budget'!F263*0.55</f>
        <v>3281172.0084</v>
      </c>
      <c r="D30" s="32" t="n">
        <v>0.55</v>
      </c>
      <c r="E30" s="21" t="s">
        <v>76</v>
      </c>
      <c r="F30" s="21"/>
    </row>
    <row r="31" customFormat="false" ht="15" hidden="false" customHeight="true" outlineLevel="0" collapsed="false">
      <c r="B31" s="7" t="s">
        <v>77</v>
      </c>
      <c r="C31" s="12" t="n">
        <f aca="false">'Production Budget'!F263*0.25</f>
        <v>1491441.822</v>
      </c>
      <c r="D31" s="32" t="n">
        <v>0.25</v>
      </c>
      <c r="E31" s="21" t="s">
        <v>78</v>
      </c>
      <c r="F31" s="21"/>
    </row>
    <row r="32" customFormat="false" ht="15" hidden="false" customHeight="true" outlineLevel="0" collapsed="false">
      <c r="B32" s="7" t="s">
        <v>79</v>
      </c>
      <c r="C32" s="12" t="n">
        <f aca="false">'Production Budget'!F263*0.15</f>
        <v>894865.0932</v>
      </c>
      <c r="D32" s="32" t="n">
        <v>0.15</v>
      </c>
      <c r="E32" s="21" t="s">
        <v>80</v>
      </c>
      <c r="F32" s="21"/>
    </row>
    <row r="33" customFormat="false" ht="15" hidden="false" customHeight="true" outlineLevel="0" collapsed="false">
      <c r="B33" s="7" t="s">
        <v>81</v>
      </c>
      <c r="C33" s="12" t="n">
        <f aca="false">'Production Budget'!F263*0.05</f>
        <v>298288.3644</v>
      </c>
      <c r="D33" s="32" t="n">
        <v>0.05</v>
      </c>
      <c r="E33" s="21" t="s">
        <v>82</v>
      </c>
      <c r="F33" s="21"/>
    </row>
    <row r="35" customFormat="false" ht="19.5" hidden="false" customHeight="true" outlineLevel="0" collapsed="false">
      <c r="B35" s="23" t="s">
        <v>83</v>
      </c>
      <c r="C35" s="23"/>
      <c r="D35" s="23"/>
      <c r="E35" s="23"/>
      <c r="F35" s="23"/>
    </row>
    <row r="36" customFormat="false" ht="15" hidden="false" customHeight="true" outlineLevel="0" collapsed="false">
      <c r="B36" s="17" t="s">
        <v>84</v>
      </c>
      <c r="C36" s="18" t="s">
        <v>38</v>
      </c>
      <c r="D36" s="18" t="s">
        <v>39</v>
      </c>
      <c r="E36" s="18" t="s">
        <v>85</v>
      </c>
      <c r="F36" s="35" t="s">
        <v>86</v>
      </c>
    </row>
    <row r="37" customFormat="false" ht="15" hidden="false" customHeight="true" outlineLevel="0" collapsed="false">
      <c r="B37" s="7" t="s">
        <v>33</v>
      </c>
      <c r="C37" s="12" t="n">
        <f aca="false">(('Seating Plan'!F28*1)-(('Weekly Operating'!F123-0.03*'Seating Plan'!F28)+0.03*1*'Seating Plan'!F28))</f>
        <v>56734.5</v>
      </c>
      <c r="D37" s="36" t="n">
        <f aca="false">IF((('Seating Plan'!F28*1)-(('Weekly Operating'!F123-0.03*'Seating Plan'!F28)+0.03*1*'Seating Plan'!F28))&gt;0,'Production Budget'!F263/(('Seating Plan'!F28*1)-(('Weekly Operating'!F123-0.03*'Seating Plan'!F28)+0.03*1*'Seating Plan'!F28)),"—")</f>
        <v>105.152372683288</v>
      </c>
      <c r="E37" s="36" t="n">
        <f aca="false">IF((('Seating Plan'!F28*1)-(('Weekly Operating'!F123-0.03*'Seating Plan'!F28)+0.03*1*'Seating Plan'!F28))&gt;0,'Production Budget'!F263*0.55/(('Seating Plan'!F28*1)-(('Weekly Operating'!F123-0.03*'Seating Plan'!F28)+0.03*1*'Seating Plan'!F28)),"—")</f>
        <v>57.8338049758084</v>
      </c>
      <c r="F37" s="37" t="str">
        <f aca="false">IF(AND((('Seating Plan'!F28*1)-(('Weekly Operating'!F123-0.03*'Seating Plan'!F28)+0.03*1*'Seating Plan'!F28))&gt;0,'Production Budget'!F263*0.55/(('Seating Plan'!F28*1)-(('Weekly Operating'!F123-0.03*'Seating Plan'!F28)+0.03*1*'Seating Plan'!F28))&lt;=60),"YES","NO")</f>
        <v>YES</v>
      </c>
    </row>
    <row r="38" customFormat="false" ht="15" hidden="false" customHeight="true" outlineLevel="0" collapsed="false">
      <c r="B38" s="7" t="s">
        <v>34</v>
      </c>
      <c r="C38" s="12" t="n">
        <f aca="false">(('Seating Plan'!F28*0.9)-(('Weekly Operating'!F123-0.03*'Seating Plan'!F28)+0.03*0.9*'Seating Plan'!F28))</f>
        <v>40923.5</v>
      </c>
      <c r="D38" s="36" t="n">
        <f aca="false">IF((('Seating Plan'!F28*0.9)-(('Weekly Operating'!F123-0.03*'Seating Plan'!F28)+0.03*0.9*'Seating Plan'!F28))&gt;0,'Production Budget'!F263/(('Seating Plan'!F28*0.9)-(('Weekly Operating'!F123-0.03*'Seating Plan'!F28)+0.03*0.9*'Seating Plan'!F28)),"—")</f>
        <v>145.77852060552</v>
      </c>
      <c r="E38" s="36" t="n">
        <f aca="false">IF((('Seating Plan'!F28*0.9)-(('Weekly Operating'!F123-0.03*'Seating Plan'!F28)+0.03*0.9*'Seating Plan'!F28))&gt;0,'Production Budget'!F263*0.55/(('Seating Plan'!F28*0.9)-(('Weekly Operating'!F123-0.03*'Seating Plan'!F28)+0.03*0.9*'Seating Plan'!F28)),"—")</f>
        <v>80.1781863330361</v>
      </c>
      <c r="F38" s="37" t="str">
        <f aca="false">IF(AND((('Seating Plan'!F28*0.9)-(('Weekly Operating'!F123-0.03*'Seating Plan'!F28)+0.03*0.9*'Seating Plan'!F28))&gt;0,'Production Budget'!F263*0.55/(('Seating Plan'!F28*0.9)-(('Weekly Operating'!F123-0.03*'Seating Plan'!F28)+0.03*0.9*'Seating Plan'!F28))&lt;=60),"YES","NO")</f>
        <v>NO</v>
      </c>
    </row>
    <row r="39" customFormat="false" ht="15" hidden="false" customHeight="true" outlineLevel="0" collapsed="false">
      <c r="B39" s="7" t="s">
        <v>87</v>
      </c>
      <c r="C39" s="12" t="n">
        <f aca="false">(('Seating Plan'!F28*0.85)-(('Weekly Operating'!F123-0.03*'Seating Plan'!F28)+0.03*0.85*'Seating Plan'!F28))</f>
        <v>33018</v>
      </c>
      <c r="D39" s="36" t="n">
        <f aca="false">IF((('Seating Plan'!F28*0.85)-(('Weekly Operating'!F123-0.03*'Seating Plan'!F28)+0.03*0.85*'Seating Plan'!F28))&gt;0,'Production Budget'!F263/(('Seating Plan'!F28*0.85)-(('Weekly Operating'!F123-0.03*'Seating Plan'!F28)+0.03*0.85*'Seating Plan'!F28)),"—")</f>
        <v>180.682272942032</v>
      </c>
      <c r="E39" s="36" t="n">
        <f aca="false">IF((('Seating Plan'!F28*0.85)-(('Weekly Operating'!F123-0.03*'Seating Plan'!F28)+0.03*0.85*'Seating Plan'!F28))&gt;0,'Production Budget'!F263*0.55/(('Seating Plan'!F28*0.85)-(('Weekly Operating'!F123-0.03*'Seating Plan'!F28)+0.03*0.85*'Seating Plan'!F28)),"—")</f>
        <v>99.3752501181174</v>
      </c>
      <c r="F39" s="37" t="str">
        <f aca="false">IF(AND((('Seating Plan'!F28*0.85)-(('Weekly Operating'!F123-0.03*'Seating Plan'!F28)+0.03*0.85*'Seating Plan'!F28))&gt;0,'Production Budget'!F263*0.55/(('Seating Plan'!F28*0.85)-(('Weekly Operating'!F123-0.03*'Seating Plan'!F28)+0.03*0.85*'Seating Plan'!F28))&lt;=60),"YES","NO")</f>
        <v>NO</v>
      </c>
    </row>
    <row r="40" customFormat="false" ht="15" hidden="false" customHeight="true" outlineLevel="0" collapsed="false">
      <c r="B40" s="7" t="s">
        <v>35</v>
      </c>
      <c r="C40" s="12" t="n">
        <f aca="false">(('Seating Plan'!F28*0.8)-(('Weekly Operating'!F123-0.03*'Seating Plan'!F28)+0.03*0.8*'Seating Plan'!F28))</f>
        <v>25112.5</v>
      </c>
      <c r="D40" s="36" t="n">
        <f aca="false">IF((('Seating Plan'!F28*0.8)-(('Weekly Operating'!F123-0.03*'Seating Plan'!F28)+0.03*0.8*'Seating Plan'!F28))&gt;0,'Production Budget'!F263/(('Seating Plan'!F28*0.8)-(('Weekly Operating'!F123-0.03*'Seating Plan'!F28)+0.03*0.8*'Seating Plan'!F28)),"—")</f>
        <v>237.561664031857</v>
      </c>
      <c r="E40" s="36" t="n">
        <f aca="false">IF((('Seating Plan'!F28*0.8)-(('Weekly Operating'!F123-0.03*'Seating Plan'!F28)+0.03*0.8*'Seating Plan'!F28))&gt;0,'Production Budget'!F263*0.55/(('Seating Plan'!F28*0.8)-(('Weekly Operating'!F123-0.03*'Seating Plan'!F28)+0.03*0.8*'Seating Plan'!F28)),"—")</f>
        <v>130.658915217521</v>
      </c>
      <c r="F40" s="37" t="str">
        <f aca="false">IF(AND((('Seating Plan'!F28*0.8)-(('Weekly Operating'!F123-0.03*'Seating Plan'!F28)+0.03*0.8*'Seating Plan'!F28))&gt;0,'Production Budget'!F263*0.55/(('Seating Plan'!F28*0.8)-(('Weekly Operating'!F123-0.03*'Seating Plan'!F28)+0.03*0.8*'Seating Plan'!F28))&lt;=60),"YES","NO")</f>
        <v>NO</v>
      </c>
    </row>
    <row r="41" customFormat="false" ht="15" hidden="false" customHeight="true" outlineLevel="0" collapsed="false">
      <c r="B41" s="7" t="s">
        <v>36</v>
      </c>
      <c r="C41" s="12" t="n">
        <f aca="false">(('Seating Plan'!F28*0.75)-(('Weekly Operating'!F123-0.03*'Seating Plan'!F28)+0.03*0.75*'Seating Plan'!F28))</f>
        <v>17207</v>
      </c>
      <c r="D41" s="36" t="n">
        <f aca="false">IF((('Seating Plan'!F28*0.75)-(('Weekly Operating'!F123-0.03*'Seating Plan'!F28)+0.03*0.75*'Seating Plan'!F28))&gt;0,'Production Budget'!F263/(('Seating Plan'!F28*0.75)-(('Weekly Operating'!F123-0.03*'Seating Plan'!F28)+0.03*0.75*'Seating Plan'!F28)),"—")</f>
        <v>346.70583413727</v>
      </c>
      <c r="E41" s="36" t="n">
        <f aca="false">IF((('Seating Plan'!F28*0.75)-(('Weekly Operating'!F123-0.03*'Seating Plan'!F28)+0.03*0.75*'Seating Plan'!F28))&gt;0,'Production Budget'!F263*0.55/(('Seating Plan'!F28*0.75)-(('Weekly Operating'!F123-0.03*'Seating Plan'!F28)+0.03*0.75*'Seating Plan'!F28)),"—")</f>
        <v>190.688208775498</v>
      </c>
      <c r="F41" s="37" t="str">
        <f aca="false">IF(AND((('Seating Plan'!F28*0.75)-(('Weekly Operating'!F123-0.03*'Seating Plan'!F28)+0.03*0.75*'Seating Plan'!F28))&gt;0,'Production Budget'!F263*0.55/(('Seating Plan'!F28*0.75)-(('Weekly Operating'!F123-0.03*'Seating Plan'!F28)+0.03*0.75*'Seating Plan'!F28))&lt;=60),"YES","NO")</f>
        <v>NO</v>
      </c>
    </row>
    <row r="42" customFormat="false" ht="15" hidden="false" customHeight="true" outlineLevel="0" collapsed="false">
      <c r="B42" s="7" t="s">
        <v>37</v>
      </c>
      <c r="C42" s="12" t="n">
        <f aca="false">(('Seating Plan'!F28*0.7)-(('Weekly Operating'!F123-0.03*'Seating Plan'!F28)+0.03*0.7*'Seating Plan'!F28))</f>
        <v>9301.5</v>
      </c>
      <c r="D42" s="36" t="n">
        <f aca="false">IF((('Seating Plan'!F28*0.7)-(('Weekly Operating'!F123-0.03*'Seating Plan'!F28)+0.03*0.7*'Seating Plan'!F28))&gt;0,'Production Budget'!F263/(('Seating Plan'!F28*0.7)-(('Weekly Operating'!F123-0.03*'Seating Plan'!F28)+0.03*0.7*'Seating Plan'!F28)),"—")</f>
        <v>641.376905660378</v>
      </c>
      <c r="E42" s="36" t="n">
        <f aca="false">IF((('Seating Plan'!F28*0.7)-(('Weekly Operating'!F123-0.03*'Seating Plan'!F28)+0.03*0.7*'Seating Plan'!F28))&gt;0,'Production Budget'!F263*0.55/(('Seating Plan'!F28*0.7)-(('Weekly Operating'!F123-0.03*'Seating Plan'!F28)+0.03*0.7*'Seating Plan'!F28)),"—")</f>
        <v>352.757298113208</v>
      </c>
      <c r="F42" s="37" t="str">
        <f aca="false">IF(AND((('Seating Plan'!F28*0.7)-(('Weekly Operating'!F123-0.03*'Seating Plan'!F28)+0.03*0.7*'Seating Plan'!F28))&gt;0,'Production Budget'!F263*0.55/(('Seating Plan'!F28*0.7)-(('Weekly Operating'!F123-0.03*'Seating Plan'!F28)+0.03*0.7*'Seating Plan'!F28))&lt;=60),"YES","NO")</f>
        <v>NO</v>
      </c>
    </row>
    <row r="43" customFormat="false" ht="15" hidden="false" customHeight="true" outlineLevel="0" collapsed="false">
      <c r="B43" s="7" t="s">
        <v>88</v>
      </c>
      <c r="C43" s="12" t="n">
        <f aca="false">(('Seating Plan'!F28*0.65)-(('Weekly Operating'!F123-0.03*'Seating Plan'!F28)+0.03*0.65*'Seating Plan'!F28))</f>
        <v>1396</v>
      </c>
      <c r="D43" s="36" t="n">
        <f aca="false">IF((('Seating Plan'!F28*0.65)-(('Weekly Operating'!F123-0.03*'Seating Plan'!F28)+0.03*0.65*'Seating Plan'!F28))&gt;0,'Production Budget'!F263/(('Seating Plan'!F28*0.65)-(('Weekly Operating'!F123-0.03*'Seating Plan'!F28)+0.03*0.65*'Seating Plan'!F28)),"—")</f>
        <v>4273.47226934098</v>
      </c>
      <c r="E43" s="36" t="n">
        <f aca="false">IF((('Seating Plan'!F28*0.65)-(('Weekly Operating'!F123-0.03*'Seating Plan'!F28)+0.03*0.65*'Seating Plan'!F28))&gt;0,'Production Budget'!F263*0.55/(('Seating Plan'!F28*0.65)-(('Weekly Operating'!F123-0.03*'Seating Plan'!F28)+0.03*0.65*'Seating Plan'!F28)),"—")</f>
        <v>2350.40974813754</v>
      </c>
      <c r="F43" s="37" t="str">
        <f aca="false">IF(AND((('Seating Plan'!F28*0.65)-(('Weekly Operating'!F123-0.03*'Seating Plan'!F28)+0.03*0.65*'Seating Plan'!F28))&gt;0,'Production Budget'!F263*0.55/(('Seating Plan'!F28*0.65)-(('Weekly Operating'!F123-0.03*'Seating Plan'!F28)+0.03*0.65*'Seating Plan'!F28))&lt;=60),"YES","NO")</f>
        <v>NO</v>
      </c>
    </row>
    <row r="45" customFormat="false" ht="15" hidden="false" customHeight="true" outlineLevel="0" collapsed="false">
      <c r="B45" s="21" t="s">
        <v>89</v>
      </c>
      <c r="C45" s="21"/>
      <c r="D45" s="21"/>
      <c r="E45" s="21"/>
      <c r="F45" s="21"/>
    </row>
    <row r="47" customFormat="false" ht="19.5" hidden="false" customHeight="true" outlineLevel="0" collapsed="false">
      <c r="B47" s="23" t="s">
        <v>90</v>
      </c>
      <c r="C47" s="23"/>
      <c r="D47" s="23"/>
      <c r="E47" s="23"/>
      <c r="F47" s="23"/>
    </row>
    <row r="48" customFormat="false" ht="18" hidden="false" customHeight="true" outlineLevel="0" collapsed="false">
      <c r="B48" s="24" t="s">
        <v>91</v>
      </c>
      <c r="C48" s="24"/>
      <c r="D48" s="24"/>
      <c r="E48" s="24"/>
      <c r="F48" s="24"/>
    </row>
    <row r="49" customFormat="false" ht="18" hidden="false" customHeight="true" outlineLevel="0" collapsed="false">
      <c r="B49" s="24" t="s">
        <v>92</v>
      </c>
      <c r="C49" s="24"/>
      <c r="D49" s="24"/>
      <c r="E49" s="24"/>
      <c r="F49" s="24"/>
    </row>
    <row r="50" customFormat="false" ht="18" hidden="false" customHeight="true" outlineLevel="0" collapsed="false">
      <c r="B50" s="24" t="s">
        <v>93</v>
      </c>
      <c r="C50" s="24"/>
      <c r="D50" s="24"/>
      <c r="E50" s="24"/>
      <c r="F50" s="24"/>
    </row>
    <row r="51" customFormat="false" ht="18" hidden="false" customHeight="true" outlineLevel="0" collapsed="false">
      <c r="B51" s="24" t="s">
        <v>94</v>
      </c>
      <c r="C51" s="24"/>
      <c r="D51" s="24"/>
      <c r="E51" s="24"/>
      <c r="F51" s="24"/>
    </row>
    <row r="52" customFormat="false" ht="18" hidden="false" customHeight="true" outlineLevel="0" collapsed="false">
      <c r="B52" s="24" t="s">
        <v>95</v>
      </c>
      <c r="C52" s="24"/>
      <c r="D52" s="24"/>
      <c r="E52" s="24"/>
      <c r="F52" s="24"/>
    </row>
    <row r="53" customFormat="false" ht="18" hidden="false" customHeight="true" outlineLevel="0" collapsed="false">
      <c r="B53" s="24" t="s">
        <v>96</v>
      </c>
      <c r="C53" s="24"/>
      <c r="D53" s="24"/>
      <c r="E53" s="24"/>
      <c r="F53" s="24"/>
    </row>
  </sheetData>
  <mergeCells count="39">
    <mergeCell ref="B2:F2"/>
    <mergeCell ref="B3:F3"/>
    <mergeCell ref="B5:F5"/>
    <mergeCell ref="B6:F6"/>
    <mergeCell ref="B7:F7"/>
    <mergeCell ref="B8:F8"/>
    <mergeCell ref="B9:F9"/>
    <mergeCell ref="B11:F11"/>
    <mergeCell ref="B12:C12"/>
    <mergeCell ref="D12:E12"/>
    <mergeCell ref="B13:C13"/>
    <mergeCell ref="D13:E13"/>
    <mergeCell ref="B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B28:F28"/>
    <mergeCell ref="E29:F29"/>
    <mergeCell ref="E30:F30"/>
    <mergeCell ref="E31:F31"/>
    <mergeCell ref="E32:F32"/>
    <mergeCell ref="E33:F33"/>
    <mergeCell ref="B35:F35"/>
    <mergeCell ref="B45:F45"/>
    <mergeCell ref="B47:F47"/>
    <mergeCell ref="B48:F48"/>
    <mergeCell ref="B49:F49"/>
    <mergeCell ref="B50:F50"/>
    <mergeCell ref="B51:F51"/>
    <mergeCell ref="B52:F52"/>
    <mergeCell ref="B53:F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5" min="2" style="1" width="20"/>
    <col collapsed="false" customWidth="true" hidden="false" outlineLevel="0" max="6" min="6" style="1" width="2"/>
  </cols>
  <sheetData>
    <row r="1" customFormat="false" ht="15" hidden="false" customHeight="true" outlineLevel="0" collapsed="false">
      <c r="A1" s="2"/>
      <c r="B1" s="2"/>
      <c r="C1" s="2"/>
      <c r="D1" s="2"/>
      <c r="E1" s="2"/>
      <c r="F1" s="2"/>
    </row>
    <row r="2" customFormat="false" ht="30" hidden="false" customHeight="true" outlineLevel="0" collapsed="false">
      <c r="B2" s="38" t="s">
        <v>0</v>
      </c>
      <c r="C2" s="38"/>
      <c r="D2" s="38"/>
      <c r="E2" s="38"/>
    </row>
    <row r="3" customFormat="false" ht="15" hidden="false" customHeight="true" outlineLevel="0" collapsed="false">
      <c r="B3" s="39" t="s">
        <v>97</v>
      </c>
      <c r="C3" s="39"/>
      <c r="D3" s="39"/>
      <c r="E3" s="39"/>
    </row>
    <row r="5" customFormat="false" ht="18" hidden="false" customHeight="true" outlineLevel="0" collapsed="false">
      <c r="B5" s="25" t="s">
        <v>98</v>
      </c>
      <c r="C5" s="25"/>
      <c r="D5" s="26" t="s">
        <v>99</v>
      </c>
      <c r="E5" s="26"/>
    </row>
    <row r="6" customFormat="false" ht="27.75" hidden="false" customHeight="true" outlineLevel="0" collapsed="false">
      <c r="B6" s="40" t="n">
        <f aca="false">'Production Budget'!F263</f>
        <v>5965767.288</v>
      </c>
      <c r="C6" s="40"/>
      <c r="D6" s="41" t="n">
        <f aca="false">'Seating Plan'!F28</f>
        <v>163000</v>
      </c>
      <c r="E6" s="41"/>
    </row>
    <row r="7" customFormat="false" ht="19.5" hidden="false" customHeight="true" outlineLevel="0" collapsed="false">
      <c r="B7" s="40"/>
      <c r="C7" s="40"/>
      <c r="D7" s="41"/>
      <c r="E7" s="41"/>
    </row>
    <row r="8" customFormat="false" ht="7.5" hidden="false" customHeight="true" outlineLevel="0" collapsed="false"/>
    <row r="9" customFormat="false" ht="18" hidden="false" customHeight="true" outlineLevel="0" collapsed="false">
      <c r="B9" s="42" t="s">
        <v>100</v>
      </c>
      <c r="C9" s="42"/>
      <c r="D9" s="42" t="s">
        <v>101</v>
      </c>
      <c r="E9" s="42"/>
    </row>
    <row r="10" customFormat="false" ht="27.75" hidden="false" customHeight="true" outlineLevel="0" collapsed="false">
      <c r="B10" s="43" t="s">
        <v>102</v>
      </c>
      <c r="C10" s="43"/>
      <c r="D10" s="44" t="n">
        <v>12</v>
      </c>
      <c r="E10" s="44"/>
    </row>
    <row r="11" customFormat="false" ht="19.5" hidden="false" customHeight="true" outlineLevel="0" collapsed="false">
      <c r="B11" s="43"/>
      <c r="C11" s="43"/>
      <c r="D11" s="44"/>
      <c r="E11" s="44"/>
    </row>
    <row r="12" customFormat="false" ht="7.5" hidden="false" customHeight="true" outlineLevel="0" collapsed="false"/>
    <row r="13" customFormat="false" ht="18" hidden="false" customHeight="true" outlineLevel="0" collapsed="false">
      <c r="B13" s="45" t="s">
        <v>103</v>
      </c>
      <c r="C13" s="45"/>
      <c r="D13" s="45" t="s">
        <v>104</v>
      </c>
      <c r="E13" s="45"/>
    </row>
    <row r="14" customFormat="false" ht="27.75" hidden="false" customHeight="true" outlineLevel="0" collapsed="false">
      <c r="B14" s="46" t="s">
        <v>105</v>
      </c>
      <c r="C14" s="46"/>
      <c r="D14" s="47" t="n">
        <v>150</v>
      </c>
      <c r="E14" s="47"/>
    </row>
    <row r="15" customFormat="false" ht="19.5" hidden="false" customHeight="true" outlineLevel="0" collapsed="false">
      <c r="B15" s="46"/>
      <c r="C15" s="46"/>
      <c r="D15" s="47"/>
      <c r="E15" s="47"/>
    </row>
    <row r="17" customFormat="false" ht="19.5" hidden="false" customHeight="true" outlineLevel="0" collapsed="false">
      <c r="B17" s="48" t="s">
        <v>106</v>
      </c>
      <c r="C17" s="48"/>
      <c r="D17" s="48"/>
      <c r="E17" s="48"/>
    </row>
    <row r="18" customFormat="false" ht="15" hidden="false" customHeight="true" outlineLevel="0" collapsed="false">
      <c r="B18" s="49" t="s">
        <v>52</v>
      </c>
      <c r="C18" s="49"/>
      <c r="D18" s="50" t="s">
        <v>53</v>
      </c>
      <c r="E18" s="50" t="s">
        <v>107</v>
      </c>
    </row>
    <row r="19" customFormat="false" ht="18" hidden="false" customHeight="true" outlineLevel="0" collapsed="false">
      <c r="B19" s="51" t="s">
        <v>108</v>
      </c>
      <c r="C19" s="51"/>
      <c r="D19" s="52" t="n">
        <f aca="false">'Production Budget'!F40+'Production Budget'!F210</f>
        <v>2505043.6</v>
      </c>
      <c r="E19" s="53" t="n">
        <f aca="false">D19/'Production Budget'!F263</f>
        <v>0.419903003095484</v>
      </c>
    </row>
    <row r="20" customFormat="false" ht="18" hidden="false" customHeight="true" outlineLevel="0" collapsed="false">
      <c r="B20" s="51" t="s">
        <v>109</v>
      </c>
      <c r="C20" s="51"/>
      <c r="D20" s="52" t="n">
        <f aca="false">'Production Budget'!F90+'Production Budget'!F135+'Production Budget'!F150+'Production Budget'!F166</f>
        <v>1508698.48</v>
      </c>
      <c r="E20" s="53" t="n">
        <f aca="false">D20/'Production Budget'!F263</f>
        <v>0.252892613333194</v>
      </c>
    </row>
    <row r="21" customFormat="false" ht="18" hidden="false" customHeight="true" outlineLevel="0" collapsed="false">
      <c r="B21" s="51" t="s">
        <v>110</v>
      </c>
      <c r="C21" s="51"/>
      <c r="D21" s="52" t="n">
        <f aca="false">'Production Budget'!F187</f>
        <v>754500</v>
      </c>
      <c r="E21" s="53" t="n">
        <f aca="false">D21/'Production Budget'!F263</f>
        <v>0.126471577514875</v>
      </c>
    </row>
    <row r="22" customFormat="false" ht="18" hidden="false" customHeight="true" outlineLevel="0" collapsed="false">
      <c r="B22" s="51" t="s">
        <v>111</v>
      </c>
      <c r="C22" s="51"/>
      <c r="D22" s="52" t="n">
        <f aca="false">'Production Budget'!F225+'Production Budget'!F233+'Production Budget'!F252+'Production Budget'!F261</f>
        <v>1197525.208</v>
      </c>
      <c r="E22" s="53" t="n">
        <f aca="false">D22/'Production Budget'!F263</f>
        <v>0.200732806056447</v>
      </c>
    </row>
    <row r="23" customFormat="false" ht="21.75" hidden="false" customHeight="true" outlineLevel="0" collapsed="false">
      <c r="B23" s="54" t="s">
        <v>112</v>
      </c>
      <c r="C23" s="54"/>
      <c r="D23" s="55" t="n">
        <f aca="false">SUM(D19:D22)</f>
        <v>5965767.288</v>
      </c>
      <c r="E23" s="56" t="n">
        <v>1</v>
      </c>
    </row>
    <row r="25" customFormat="false" ht="21.75" hidden="false" customHeight="true" outlineLevel="0" collapsed="false">
      <c r="B25" s="57" t="str">
        <f aca="false">"Breakeven at "&amp;TEXT(Recoupment!C28,"0.0%")&amp;" capacity · Recoup investor tier in "&amp;TEXT('Production Budget'!F263*0.55/(('Seating Plan'!F28*0.9)-(('Weekly Operating'!F123-0.03*'Seating Plan'!F28)+0.03*0.9*'Seating Plan'!F28)),"0")&amp;" weeks at 90% avg capacity"</f>
        <v>Breakeven at 64.1% capacity · Recoup investor tier in 80 weeks at 90% avg capacity</v>
      </c>
      <c r="C25" s="57"/>
      <c r="D25" s="57"/>
      <c r="E25" s="57"/>
    </row>
    <row r="27" customFormat="false" ht="15" hidden="false" customHeight="true" outlineLevel="0" collapsed="false">
      <c r="B27" s="58" t="s">
        <v>113</v>
      </c>
      <c r="C27" s="58"/>
      <c r="D27" s="58"/>
      <c r="E27" s="58"/>
    </row>
  </sheetData>
  <mergeCells count="23">
    <mergeCell ref="B2:E2"/>
    <mergeCell ref="B3:E3"/>
    <mergeCell ref="B5:C5"/>
    <mergeCell ref="D5:E5"/>
    <mergeCell ref="B6:C7"/>
    <mergeCell ref="D6:E7"/>
    <mergeCell ref="B9:C9"/>
    <mergeCell ref="D9:E9"/>
    <mergeCell ref="B10:C11"/>
    <mergeCell ref="D10:E11"/>
    <mergeCell ref="B13:C13"/>
    <mergeCell ref="D13:E13"/>
    <mergeCell ref="B14:C15"/>
    <mergeCell ref="D14:E15"/>
    <mergeCell ref="B17:E17"/>
    <mergeCell ref="B18:C18"/>
    <mergeCell ref="B19:C19"/>
    <mergeCell ref="B20:C20"/>
    <mergeCell ref="B21:C21"/>
    <mergeCell ref="B22:C22"/>
    <mergeCell ref="B23:C23"/>
    <mergeCell ref="B25:E25"/>
    <mergeCell ref="B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3" min="3" style="1" width="16"/>
    <col collapsed="false" customWidth="true" hidden="false" outlineLevel="0" max="5" min="4" style="1" width="4"/>
    <col collapsed="false" customWidth="true" hidden="false" outlineLevel="0" max="6" min="6" style="1" width="30"/>
    <col collapsed="false" customWidth="true" hidden="false" outlineLevel="0" max="7" min="7" style="1" width="16"/>
  </cols>
  <sheetData>
    <row r="1" customFormat="false" ht="15" hidden="false" customHeight="true" outlineLevel="0" collapsed="false">
      <c r="A1" s="59" t="s">
        <v>114</v>
      </c>
      <c r="F1" s="60" t="s">
        <v>115</v>
      </c>
    </row>
    <row r="2" customFormat="false" ht="15" hidden="false" customHeight="true" outlineLevel="0" collapsed="false">
      <c r="A2" s="61" t="s">
        <v>116</v>
      </c>
    </row>
    <row r="3" customFormat="false" ht="15" hidden="false" customHeight="true" outlineLevel="0" collapsed="false">
      <c r="A3" s="61" t="s">
        <v>117</v>
      </c>
    </row>
    <row r="4" customFormat="false" ht="15" hidden="false" customHeight="true" outlineLevel="0" collapsed="false">
      <c r="A4" s="62" t="s">
        <v>118</v>
      </c>
      <c r="F4" s="63" t="s">
        <v>119</v>
      </c>
    </row>
    <row r="6" customFormat="false" ht="15" hidden="false" customHeight="true" outlineLevel="0" collapsed="false">
      <c r="A6" s="64" t="s">
        <v>0</v>
      </c>
      <c r="B6" s="64"/>
      <c r="C6" s="64"/>
      <c r="D6" s="64"/>
      <c r="E6" s="64"/>
      <c r="F6" s="64"/>
      <c r="G6" s="64"/>
    </row>
    <row r="7" customFormat="false" ht="15" hidden="false" customHeight="true" outlineLevel="0" collapsed="false">
      <c r="A7" s="65" t="s">
        <v>120</v>
      </c>
      <c r="B7" s="65"/>
      <c r="C7" s="65"/>
      <c r="D7" s="65"/>
      <c r="E7" s="65"/>
      <c r="F7" s="65"/>
      <c r="G7" s="65"/>
    </row>
    <row r="9" customFormat="false" ht="15" hidden="false" customHeight="true" outlineLevel="0" collapsed="false">
      <c r="A9" s="66" t="s">
        <v>121</v>
      </c>
      <c r="B9" s="66"/>
      <c r="C9" s="66"/>
      <c r="D9" s="66"/>
      <c r="E9" s="66"/>
      <c r="F9" s="66"/>
      <c r="G9" s="66"/>
    </row>
    <row r="10" customFormat="false" ht="15" hidden="false" customHeight="true" outlineLevel="0" collapsed="false">
      <c r="B10" s="67" t="s">
        <v>122</v>
      </c>
      <c r="C10" s="68" t="n">
        <f aca="false">'Production Budget'!F40</f>
        <v>2314250</v>
      </c>
    </row>
    <row r="11" customFormat="false" ht="15" hidden="false" customHeight="true" outlineLevel="0" collapsed="false">
      <c r="B11" s="67" t="s">
        <v>123</v>
      </c>
      <c r="C11" s="68" t="n">
        <f aca="false">'Production Budget'!F90</f>
        <v>1008879</v>
      </c>
    </row>
    <row r="12" customFormat="false" ht="15" hidden="false" customHeight="true" outlineLevel="0" collapsed="false">
      <c r="B12" s="67" t="s">
        <v>124</v>
      </c>
      <c r="C12" s="68" t="n">
        <f aca="false">'Production Budget'!F135</f>
        <v>394919.48</v>
      </c>
    </row>
    <row r="13" customFormat="false" ht="15" hidden="false" customHeight="true" outlineLevel="0" collapsed="false">
      <c r="B13" s="67" t="s">
        <v>125</v>
      </c>
      <c r="C13" s="68" t="n">
        <f aca="false">'Production Budget'!F150</f>
        <v>53500</v>
      </c>
    </row>
    <row r="14" customFormat="false" ht="15" hidden="false" customHeight="true" outlineLevel="0" collapsed="false">
      <c r="B14" s="67" t="s">
        <v>126</v>
      </c>
      <c r="C14" s="68" t="n">
        <f aca="false">'Production Budget'!F166</f>
        <v>51400</v>
      </c>
    </row>
    <row r="15" customFormat="false" ht="15" hidden="false" customHeight="true" outlineLevel="0" collapsed="false">
      <c r="B15" s="67" t="s">
        <v>127</v>
      </c>
      <c r="C15" s="68" t="n">
        <f aca="false">'Production Budget'!F187</f>
        <v>754500</v>
      </c>
    </row>
    <row r="16" customFormat="false" ht="15" hidden="false" customHeight="true" outlineLevel="0" collapsed="false">
      <c r="B16" s="67" t="s">
        <v>128</v>
      </c>
      <c r="C16" s="68" t="n">
        <f aca="false">'Production Budget'!F210</f>
        <v>190793.6</v>
      </c>
    </row>
    <row r="17" customFormat="false" ht="15" hidden="false" customHeight="true" outlineLevel="0" collapsed="false">
      <c r="B17" s="67" t="s">
        <v>129</v>
      </c>
      <c r="C17" s="68" t="n">
        <f aca="false">'Production Budget'!F225</f>
        <v>174700</v>
      </c>
    </row>
    <row r="18" customFormat="false" ht="15" hidden="false" customHeight="true" outlineLevel="0" collapsed="false">
      <c r="B18" s="67" t="s">
        <v>130</v>
      </c>
      <c r="C18" s="68" t="n">
        <f aca="false">'Production Budget'!F233</f>
        <v>75000</v>
      </c>
    </row>
    <row r="19" customFormat="false" ht="15" hidden="false" customHeight="true" outlineLevel="0" collapsed="false">
      <c r="B19" s="69" t="s">
        <v>131</v>
      </c>
      <c r="C19" s="70" t="n">
        <f aca="false">'Production Budget'!F235</f>
        <v>5017942.08</v>
      </c>
    </row>
    <row r="21" customFormat="false" ht="15" hidden="false" customHeight="true" outlineLevel="0" collapsed="false">
      <c r="B21" s="67" t="s">
        <v>132</v>
      </c>
      <c r="C21" s="68" t="n">
        <f aca="false">'Production Budget'!F252</f>
        <v>233500</v>
      </c>
    </row>
    <row r="22" customFormat="false" ht="15" hidden="false" customHeight="true" outlineLevel="0" collapsed="false">
      <c r="B22" s="67" t="s">
        <v>133</v>
      </c>
      <c r="C22" s="68" t="n">
        <f aca="false">'Production Budget'!F261</f>
        <v>714325.208</v>
      </c>
    </row>
    <row r="23" customFormat="false" ht="15" hidden="false" customHeight="true" outlineLevel="0" collapsed="false">
      <c r="B23" s="71" t="s">
        <v>134</v>
      </c>
      <c r="C23" s="72" t="n">
        <f aca="false">'Production Budget'!F263</f>
        <v>5965767.288</v>
      </c>
    </row>
    <row r="26" customFormat="false" ht="15" hidden="false" customHeight="true" outlineLevel="0" collapsed="false">
      <c r="A26" s="66" t="s">
        <v>135</v>
      </c>
      <c r="B26" s="66"/>
      <c r="C26" s="66"/>
      <c r="D26" s="66"/>
      <c r="E26" s="66"/>
      <c r="F26" s="66"/>
      <c r="G26" s="66"/>
    </row>
    <row r="27" customFormat="false" ht="15" hidden="false" customHeight="true" outlineLevel="0" collapsed="false">
      <c r="B27" s="67" t="s">
        <v>136</v>
      </c>
      <c r="C27" s="68" t="n">
        <f aca="false">'Weekly Operating'!F23</f>
        <v>9300</v>
      </c>
    </row>
    <row r="28" customFormat="false" ht="15" hidden="false" customHeight="true" outlineLevel="0" collapsed="false">
      <c r="B28" s="67" t="s">
        <v>137</v>
      </c>
      <c r="C28" s="68" t="n">
        <f aca="false">'Weekly Operating'!F39</f>
        <v>7900</v>
      </c>
    </row>
    <row r="29" customFormat="false" ht="15" hidden="false" customHeight="true" outlineLevel="0" collapsed="false">
      <c r="B29" s="67" t="s">
        <v>138</v>
      </c>
      <c r="C29" s="68" t="n">
        <f aca="false">'Weekly Operating'!F83</f>
        <v>67415.5</v>
      </c>
    </row>
    <row r="30" customFormat="false" ht="15" hidden="false" customHeight="true" outlineLevel="0" collapsed="false">
      <c r="B30" s="67" t="s">
        <v>139</v>
      </c>
      <c r="C30" s="68" t="n">
        <f aca="false">'Weekly Operating'!F96</f>
        <v>10100</v>
      </c>
    </row>
    <row r="31" customFormat="false" ht="15" hidden="false" customHeight="true" outlineLevel="0" collapsed="false">
      <c r="B31" s="67" t="s">
        <v>140</v>
      </c>
      <c r="C31" s="68" t="n">
        <f aca="false">'Weekly Operating'!F109</f>
        <v>8400</v>
      </c>
    </row>
    <row r="32" customFormat="false" ht="15" hidden="false" customHeight="true" outlineLevel="0" collapsed="false">
      <c r="B32" s="67" t="s">
        <v>141</v>
      </c>
      <c r="C32" s="68" t="n">
        <f aca="false">'Weekly Operating'!F121</f>
        <v>3150</v>
      </c>
    </row>
    <row r="33" customFormat="false" ht="15" hidden="false" customHeight="true" outlineLevel="0" collapsed="false">
      <c r="B33" s="71" t="s">
        <v>142</v>
      </c>
      <c r="C33" s="72" t="n">
        <f aca="false">'Weekly Operating'!F123</f>
        <v>106265.5</v>
      </c>
    </row>
    <row r="36" customFormat="false" ht="15" hidden="false" customHeight="true" outlineLevel="0" collapsed="false">
      <c r="A36" s="66" t="s">
        <v>143</v>
      </c>
      <c r="B36" s="66"/>
      <c r="C36" s="66"/>
      <c r="D36" s="66"/>
      <c r="E36" s="66"/>
      <c r="F36" s="66"/>
      <c r="G36" s="66"/>
    </row>
    <row r="37" customFormat="false" ht="15" hidden="false" customHeight="true" outlineLevel="0" collapsed="false">
      <c r="B37" s="69" t="s">
        <v>144</v>
      </c>
      <c r="C37" s="70" t="n">
        <f aca="false">'Seating Plan'!F28</f>
        <v>163000</v>
      </c>
    </row>
    <row r="38" customFormat="false" ht="15" hidden="false" customHeight="true" outlineLevel="0" collapsed="false">
      <c r="B38" s="67" t="s">
        <v>145</v>
      </c>
      <c r="C38" s="73" t="n">
        <f aca="false">'Seating Plan'!F28-'Weekly Operating'!F123</f>
        <v>56734.5</v>
      </c>
    </row>
    <row r="39" customFormat="false" ht="15" hidden="false" customHeight="true" outlineLevel="0" collapsed="false">
      <c r="B39" s="67" t="s">
        <v>146</v>
      </c>
      <c r="C39" s="73" t="n">
        <f aca="false">('Seating Plan'!F28*0.8)-(('Weekly Operating'!F123-0.03*'Seating Plan'!F28)+0.03*0.8*'Seating Plan'!F28)</f>
        <v>25112.5</v>
      </c>
    </row>
    <row r="41" customFormat="false" ht="15" hidden="false" customHeight="true" outlineLevel="0" collapsed="false">
      <c r="B41" s="69" t="s">
        <v>147</v>
      </c>
      <c r="C41" s="74" t="n">
        <f aca="false">Recoupment!C28</f>
        <v>0.641170703940295</v>
      </c>
    </row>
    <row r="42" customFormat="false" ht="15" hidden="false" customHeight="true" outlineLevel="0" collapsed="false">
      <c r="B42" s="67" t="s">
        <v>148</v>
      </c>
      <c r="C42" s="75" t="n">
        <f aca="false">IF(('Seating Plan'!F28*0.8-(('Weekly Operating'!F123-0.03*'Seating Plan'!F28)+0.03*0.8*'Seating Plan'!F28))&gt;0,'Production Budget'!F263/('Seating Plan'!F28*0.8-(('Weekly Operating'!F123-0.03*'Seating Plan'!F28)+0.03*0.8*'Seating Plan'!F28)),"—")</f>
        <v>237.561664031857</v>
      </c>
    </row>
    <row r="45" customFormat="false" ht="15" hidden="false" customHeight="true" outlineLevel="0" collapsed="false">
      <c r="A45" s="66" t="s">
        <v>149</v>
      </c>
      <c r="B45" s="66"/>
      <c r="C45" s="66"/>
      <c r="D45" s="66"/>
      <c r="E45" s="66"/>
      <c r="F45" s="66"/>
      <c r="G45" s="66"/>
    </row>
    <row r="46" customFormat="false" ht="15" hidden="false" customHeight="true" outlineLevel="0" collapsed="false">
      <c r="B46" s="76" t="s">
        <v>72</v>
      </c>
      <c r="C46" s="77" t="s">
        <v>53</v>
      </c>
      <c r="D46" s="77" t="s">
        <v>73</v>
      </c>
      <c r="E46" s="78" t="s">
        <v>150</v>
      </c>
      <c r="F46" s="78"/>
      <c r="G46" s="78"/>
    </row>
    <row r="47" customFormat="false" ht="21.75" hidden="false" customHeight="true" outlineLevel="0" collapsed="false">
      <c r="B47" s="67" t="s">
        <v>151</v>
      </c>
      <c r="C47" s="73" t="n">
        <f aca="false">('Production Budget'!F263)*0.55</f>
        <v>3281172.0084</v>
      </c>
      <c r="D47" s="79" t="n">
        <v>0.55</v>
      </c>
      <c r="E47" s="80" t="s">
        <v>152</v>
      </c>
      <c r="F47" s="80"/>
      <c r="G47" s="80"/>
    </row>
    <row r="48" customFormat="false" ht="15" hidden="false" customHeight="true" outlineLevel="0" collapsed="false">
      <c r="B48" s="67" t="s">
        <v>77</v>
      </c>
      <c r="C48" s="73" t="n">
        <f aca="false">('Production Budget'!F263)*0.25</f>
        <v>1491441.822</v>
      </c>
      <c r="D48" s="79" t="n">
        <v>0.25</v>
      </c>
      <c r="E48" s="80" t="s">
        <v>153</v>
      </c>
      <c r="F48" s="80"/>
      <c r="G48" s="80"/>
    </row>
    <row r="49" customFormat="false" ht="15" hidden="false" customHeight="true" outlineLevel="0" collapsed="false">
      <c r="B49" s="67" t="s">
        <v>79</v>
      </c>
      <c r="C49" s="73" t="n">
        <f aca="false">('Production Budget'!F263)*0.15</f>
        <v>894865.0932</v>
      </c>
      <c r="D49" s="79" t="n">
        <v>0.15</v>
      </c>
      <c r="E49" s="80" t="s">
        <v>154</v>
      </c>
      <c r="F49" s="80"/>
      <c r="G49" s="80"/>
    </row>
    <row r="50" customFormat="false" ht="15" hidden="false" customHeight="true" outlineLevel="0" collapsed="false">
      <c r="B50" s="67" t="s">
        <v>155</v>
      </c>
      <c r="C50" s="73" t="n">
        <f aca="false">('Production Budget'!F263)*0.05</f>
        <v>298288.3644</v>
      </c>
      <c r="D50" s="79" t="n">
        <v>0.05</v>
      </c>
      <c r="E50" s="80" t="s">
        <v>156</v>
      </c>
      <c r="F50" s="80"/>
      <c r="G50" s="80"/>
    </row>
    <row r="51" customFormat="false" ht="15" hidden="false" customHeight="true" outlineLevel="0" collapsed="false">
      <c r="B51" s="69" t="s">
        <v>134</v>
      </c>
      <c r="C51" s="70" t="n">
        <f aca="false">'Production Budget'!F263</f>
        <v>5965767.288</v>
      </c>
      <c r="D51" s="74" t="n">
        <v>1</v>
      </c>
    </row>
    <row r="53" customFormat="false" ht="15" hidden="false" customHeight="true" outlineLevel="0" collapsed="false">
      <c r="B53" s="81" t="s">
        <v>157</v>
      </c>
      <c r="C53" s="73" t="n">
        <f aca="false">('Production Budget'!F263)*0.55</f>
        <v>3281172.0084</v>
      </c>
    </row>
    <row r="55" customFormat="false" ht="15" hidden="false" customHeight="true" outlineLevel="0" collapsed="false">
      <c r="B55" s="82" t="s">
        <v>158</v>
      </c>
      <c r="C55" s="82"/>
      <c r="D55" s="82"/>
      <c r="E55" s="82"/>
      <c r="F55" s="82"/>
      <c r="G55" s="82"/>
    </row>
    <row r="56" customFormat="false" ht="15" hidden="false" customHeight="true" outlineLevel="0" collapsed="false">
      <c r="B56" s="80" t="s">
        <v>159</v>
      </c>
      <c r="C56" s="80"/>
      <c r="D56" s="80"/>
      <c r="E56" s="80"/>
      <c r="F56" s="80"/>
      <c r="G56" s="80"/>
    </row>
    <row r="57" customFormat="false" ht="15" hidden="false" customHeight="true" outlineLevel="0" collapsed="false">
      <c r="B57" s="80" t="s">
        <v>160</v>
      </c>
      <c r="C57" s="80"/>
      <c r="D57" s="80"/>
      <c r="E57" s="80"/>
      <c r="F57" s="80"/>
      <c r="G57" s="80"/>
    </row>
    <row r="58" customFormat="false" ht="15" hidden="false" customHeight="true" outlineLevel="0" collapsed="false">
      <c r="B58" s="80" t="s">
        <v>161</v>
      </c>
      <c r="C58" s="80"/>
      <c r="D58" s="80"/>
      <c r="E58" s="80"/>
      <c r="F58" s="80"/>
      <c r="G58" s="80"/>
    </row>
    <row r="59" customFormat="false" ht="15" hidden="false" customHeight="true" outlineLevel="0" collapsed="false">
      <c r="B59" s="80" t="s">
        <v>162</v>
      </c>
      <c r="C59" s="80"/>
      <c r="D59" s="80"/>
      <c r="E59" s="80"/>
      <c r="F59" s="80"/>
      <c r="G59" s="80"/>
    </row>
    <row r="60" customFormat="false" ht="15" hidden="false" customHeight="true" outlineLevel="0" collapsed="false">
      <c r="B60" s="80" t="s">
        <v>163</v>
      </c>
      <c r="C60" s="80"/>
      <c r="D60" s="80"/>
      <c r="E60" s="80"/>
      <c r="F60" s="80"/>
      <c r="G60" s="80"/>
    </row>
    <row r="61" customFormat="false" ht="15" hidden="false" customHeight="true" outlineLevel="0" collapsed="false">
      <c r="B61" s="80" t="s">
        <v>164</v>
      </c>
      <c r="C61" s="80"/>
      <c r="D61" s="80"/>
      <c r="E61" s="80"/>
      <c r="F61" s="80"/>
      <c r="G61" s="80"/>
    </row>
    <row r="62" customFormat="false" ht="15" hidden="false" customHeight="true" outlineLevel="0" collapsed="false">
      <c r="B62" s="80" t="s">
        <v>165</v>
      </c>
      <c r="C62" s="80"/>
      <c r="D62" s="80"/>
      <c r="E62" s="80"/>
      <c r="F62" s="80"/>
      <c r="G62" s="80"/>
    </row>
  </sheetData>
  <mergeCells count="19">
    <mergeCell ref="A6:G6"/>
    <mergeCell ref="A7:G7"/>
    <mergeCell ref="A9:G9"/>
    <mergeCell ref="A26:G26"/>
    <mergeCell ref="A36:G36"/>
    <mergeCell ref="A45:G45"/>
    <mergeCell ref="E46:G46"/>
    <mergeCell ref="E47:G47"/>
    <mergeCell ref="E48:G48"/>
    <mergeCell ref="E49:G49"/>
    <mergeCell ref="E50:G50"/>
    <mergeCell ref="B55:G55"/>
    <mergeCell ref="B56:G56"/>
    <mergeCell ref="B57:G57"/>
    <mergeCell ref="B58:G58"/>
    <mergeCell ref="B59:G59"/>
    <mergeCell ref="B60:G60"/>
    <mergeCell ref="B61:G61"/>
    <mergeCell ref="B62:G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0"/>
    <col collapsed="false" customWidth="true" hidden="false" outlineLevel="0" max="3" min="3" style="1" width="14"/>
    <col collapsed="false" customWidth="true" hidden="false" outlineLevel="0" max="4" min="4" style="1" width="4"/>
    <col collapsed="false" customWidth="true" hidden="false" outlineLevel="0" max="5" min="5" style="1" width="34"/>
    <col collapsed="false" customWidth="true" hidden="false" outlineLevel="0" max="6" min="6" style="1" width="14"/>
  </cols>
  <sheetData>
    <row r="1" customFormat="false" ht="15" hidden="false" customHeight="true" outlineLevel="0" collapsed="false">
      <c r="A1" s="59" t="s">
        <v>114</v>
      </c>
      <c r="F1" s="60" t="s">
        <v>115</v>
      </c>
    </row>
    <row r="2" customFormat="false" ht="15" hidden="false" customHeight="true" outlineLevel="0" collapsed="false">
      <c r="A2" s="61" t="s">
        <v>116</v>
      </c>
    </row>
    <row r="3" customFormat="false" ht="15" hidden="false" customHeight="true" outlineLevel="0" collapsed="false">
      <c r="A3" s="61" t="s">
        <v>117</v>
      </c>
    </row>
    <row r="4" customFormat="false" ht="15" hidden="false" customHeight="true" outlineLevel="0" collapsed="false">
      <c r="A4" s="62" t="s">
        <v>118</v>
      </c>
      <c r="F4" s="63" t="s">
        <v>119</v>
      </c>
    </row>
    <row r="6" customFormat="false" ht="15" hidden="false" customHeight="true" outlineLevel="0" collapsed="false">
      <c r="A6" s="64" t="s">
        <v>166</v>
      </c>
      <c r="B6" s="64"/>
      <c r="C6" s="64"/>
      <c r="D6" s="64"/>
      <c r="E6" s="64"/>
      <c r="F6" s="64"/>
    </row>
    <row r="8" customFormat="false" ht="15" hidden="false" customHeight="true" outlineLevel="0" collapsed="false">
      <c r="B8" s="67" t="s">
        <v>167</v>
      </c>
      <c r="C8" s="83" t="n">
        <v>2</v>
      </c>
      <c r="E8" s="67" t="s">
        <v>168</v>
      </c>
      <c r="F8" s="84" t="s">
        <v>169</v>
      </c>
    </row>
    <row r="9" customFormat="false" ht="15" hidden="false" customHeight="true" outlineLevel="0" collapsed="false">
      <c r="B9" s="67" t="s">
        <v>170</v>
      </c>
      <c r="C9" s="83" t="n">
        <v>2</v>
      </c>
      <c r="E9" s="67" t="s">
        <v>171</v>
      </c>
      <c r="F9" s="84" t="s">
        <v>172</v>
      </c>
    </row>
    <row r="10" customFormat="false" ht="15" hidden="false" customHeight="true" outlineLevel="0" collapsed="false">
      <c r="B10" s="67" t="s">
        <v>173</v>
      </c>
      <c r="C10" s="83" t="n">
        <v>2</v>
      </c>
      <c r="E10" s="67" t="s">
        <v>174</v>
      </c>
      <c r="F10" s="84" t="s">
        <v>172</v>
      </c>
    </row>
    <row r="11" customFormat="false" ht="15" hidden="false" customHeight="true" outlineLevel="0" collapsed="false">
      <c r="B11" s="67" t="s">
        <v>175</v>
      </c>
      <c r="C11" s="83" t="n">
        <v>60</v>
      </c>
      <c r="E11" s="67" t="s">
        <v>176</v>
      </c>
      <c r="F11" s="84" t="s">
        <v>172</v>
      </c>
    </row>
    <row r="12" customFormat="false" ht="15" hidden="false" customHeight="true" outlineLevel="0" collapsed="false">
      <c r="B12" s="67" t="s">
        <v>177</v>
      </c>
      <c r="C12" s="83" t="n">
        <v>12</v>
      </c>
      <c r="E12" s="67" t="s">
        <v>178</v>
      </c>
      <c r="F12" s="84" t="s">
        <v>179</v>
      </c>
    </row>
    <row r="13" customFormat="false" ht="15" hidden="false" customHeight="true" outlineLevel="0" collapsed="false">
      <c r="B13" s="67" t="s">
        <v>180</v>
      </c>
      <c r="C13" s="83" t="n">
        <v>150</v>
      </c>
      <c r="E13" s="67" t="s">
        <v>181</v>
      </c>
      <c r="F13" s="84" t="s">
        <v>182</v>
      </c>
    </row>
    <row r="14" customFormat="false" ht="15" hidden="false" customHeight="true" outlineLevel="0" collapsed="false">
      <c r="B14" s="67" t="s">
        <v>183</v>
      </c>
      <c r="C14" s="83" t="n">
        <v>30100</v>
      </c>
      <c r="E14" s="67" t="s">
        <v>184</v>
      </c>
      <c r="F14" s="83" t="n">
        <v>1</v>
      </c>
    </row>
    <row r="15" customFormat="false" ht="15" hidden="false" customHeight="true" outlineLevel="0" collapsed="false">
      <c r="B15" s="67" t="s">
        <v>185</v>
      </c>
      <c r="C15" s="85" t="n">
        <v>20000</v>
      </c>
      <c r="E15" s="67" t="s">
        <v>186</v>
      </c>
      <c r="F15" s="83" t="n">
        <v>2</v>
      </c>
    </row>
    <row r="16" customFormat="false" ht="15" hidden="false" customHeight="true" outlineLevel="0" collapsed="false">
      <c r="B16" s="67" t="s">
        <v>187</v>
      </c>
      <c r="C16" s="83" t="n">
        <v>9</v>
      </c>
      <c r="E16" s="67" t="s">
        <v>188</v>
      </c>
      <c r="F16" s="83" t="n">
        <v>2</v>
      </c>
    </row>
    <row r="17" customFormat="false" ht="15" hidden="false" customHeight="true" outlineLevel="0" collapsed="false">
      <c r="B17" s="67" t="s">
        <v>189</v>
      </c>
      <c r="C17" s="83" t="n">
        <v>0</v>
      </c>
      <c r="E17" s="67" t="s">
        <v>190</v>
      </c>
      <c r="F17" s="83" t="n">
        <v>2</v>
      </c>
    </row>
    <row r="18" customFormat="false" ht="15" hidden="false" customHeight="true" outlineLevel="0" collapsed="false">
      <c r="B18" s="67" t="s">
        <v>191</v>
      </c>
      <c r="C18" s="83" t="n">
        <v>9</v>
      </c>
      <c r="E18" s="67" t="s">
        <v>192</v>
      </c>
      <c r="F18" s="83" t="n">
        <v>1</v>
      </c>
    </row>
    <row r="19" customFormat="false" ht="15" hidden="false" customHeight="true" outlineLevel="0" collapsed="false">
      <c r="B19" s="67" t="s">
        <v>193</v>
      </c>
      <c r="C19" s="83" t="n">
        <v>5</v>
      </c>
      <c r="E19" s="67" t="s">
        <v>194</v>
      </c>
      <c r="F19" s="83" t="n">
        <v>3</v>
      </c>
    </row>
    <row r="20" customFormat="false" ht="15" hidden="false" customHeight="true" outlineLevel="0" collapsed="false">
      <c r="B20" s="67" t="s">
        <v>195</v>
      </c>
      <c r="C20" s="83" t="n">
        <v>5</v>
      </c>
      <c r="E20" s="67" t="s">
        <v>196</v>
      </c>
      <c r="F20" s="83" t="n">
        <v>1</v>
      </c>
    </row>
    <row r="21" customFormat="false" ht="15" hidden="false" customHeight="true" outlineLevel="0" collapsed="false">
      <c r="B21" s="67" t="s">
        <v>197</v>
      </c>
      <c r="C21" s="83" t="n">
        <v>4</v>
      </c>
      <c r="E21" s="67" t="s">
        <v>198</v>
      </c>
      <c r="F21" s="84" t="s">
        <v>199</v>
      </c>
    </row>
    <row r="22" customFormat="false" ht="15" hidden="false" customHeight="true" outlineLevel="0" collapsed="false">
      <c r="B22" s="67" t="s">
        <v>200</v>
      </c>
      <c r="C22" s="83" t="n">
        <v>1</v>
      </c>
    </row>
    <row r="25" customFormat="false" ht="15" hidden="false" customHeight="true" outlineLevel="0" collapsed="false">
      <c r="B25" s="81" t="s">
        <v>201</v>
      </c>
    </row>
    <row r="26" customFormat="false" ht="15" hidden="false" customHeight="true" outlineLevel="0" collapsed="false">
      <c r="B26" s="80" t="s">
        <v>202</v>
      </c>
      <c r="C26" s="80"/>
      <c r="D26" s="80"/>
      <c r="E26" s="80"/>
      <c r="F26" s="80"/>
    </row>
    <row r="27" customFormat="false" ht="15" hidden="false" customHeight="true" outlineLevel="0" collapsed="false">
      <c r="B27" s="80" t="s">
        <v>203</v>
      </c>
      <c r="C27" s="80"/>
      <c r="D27" s="80"/>
      <c r="E27" s="80"/>
      <c r="F27" s="80"/>
    </row>
    <row r="28" customFormat="false" ht="15" hidden="false" customHeight="true" outlineLevel="0" collapsed="false">
      <c r="B28" s="80" t="s">
        <v>204</v>
      </c>
      <c r="C28" s="80"/>
      <c r="D28" s="80"/>
      <c r="E28" s="80"/>
      <c r="F28" s="80"/>
    </row>
    <row r="29" customFormat="false" ht="15" hidden="false" customHeight="true" outlineLevel="0" collapsed="false">
      <c r="B29" s="80" t="s">
        <v>205</v>
      </c>
      <c r="C29" s="80"/>
      <c r="D29" s="80"/>
      <c r="E29" s="80"/>
      <c r="F29" s="80"/>
    </row>
    <row r="30" customFormat="false" ht="15" hidden="false" customHeight="true" outlineLevel="0" collapsed="false">
      <c r="B30" s="80" t="s">
        <v>206</v>
      </c>
      <c r="C30" s="80"/>
      <c r="D30" s="80"/>
      <c r="E30" s="80"/>
      <c r="F30" s="80"/>
    </row>
    <row r="31" customFormat="false" ht="15" hidden="false" customHeight="true" outlineLevel="0" collapsed="false">
      <c r="B31" s="80" t="s">
        <v>207</v>
      </c>
      <c r="C31" s="80"/>
      <c r="D31" s="80"/>
      <c r="E31" s="80"/>
      <c r="F31" s="80"/>
    </row>
    <row r="32" customFormat="false" ht="15" hidden="false" customHeight="true" outlineLevel="0" collapsed="false">
      <c r="B32" s="80" t="s">
        <v>208</v>
      </c>
      <c r="C32" s="80"/>
      <c r="D32" s="80"/>
      <c r="E32" s="80"/>
      <c r="F32" s="80"/>
    </row>
    <row r="33" customFormat="false" ht="15" hidden="false" customHeight="true" outlineLevel="0" collapsed="false">
      <c r="B33" s="80" t="s">
        <v>209</v>
      </c>
      <c r="C33" s="80"/>
      <c r="D33" s="80"/>
      <c r="E33" s="80"/>
      <c r="F33" s="80"/>
    </row>
    <row r="34" customFormat="false" ht="15" hidden="false" customHeight="true" outlineLevel="0" collapsed="false">
      <c r="B34" s="80" t="s">
        <v>210</v>
      </c>
      <c r="C34" s="80"/>
      <c r="D34" s="80"/>
      <c r="E34" s="80"/>
      <c r="F34" s="80"/>
    </row>
    <row r="35" customFormat="false" ht="15" hidden="false" customHeight="true" outlineLevel="0" collapsed="false">
      <c r="B35" s="80" t="s">
        <v>211</v>
      </c>
      <c r="C35" s="80"/>
      <c r="D35" s="80"/>
      <c r="E35" s="80"/>
      <c r="F35" s="80"/>
    </row>
    <row r="36" customFormat="false" ht="15" hidden="false" customHeight="true" outlineLevel="0" collapsed="false">
      <c r="B36" s="80" t="s">
        <v>212</v>
      </c>
      <c r="C36" s="80"/>
      <c r="D36" s="80"/>
      <c r="E36" s="80"/>
      <c r="F36" s="80"/>
    </row>
    <row r="37" customFormat="false" ht="15" hidden="false" customHeight="true" outlineLevel="0" collapsed="false">
      <c r="B37" s="80" t="s">
        <v>213</v>
      </c>
      <c r="C37" s="80"/>
      <c r="D37" s="80"/>
      <c r="E37" s="80"/>
      <c r="F37" s="80"/>
    </row>
    <row r="38" customFormat="false" ht="15" hidden="false" customHeight="true" outlineLevel="0" collapsed="false">
      <c r="B38" s="80" t="s">
        <v>214</v>
      </c>
      <c r="C38" s="80"/>
      <c r="D38" s="80"/>
      <c r="E38" s="80"/>
      <c r="F38" s="80"/>
    </row>
  </sheetData>
  <mergeCells count="14">
    <mergeCell ref="A6:F6"/>
    <mergeCell ref="B26:F26"/>
    <mergeCell ref="B27:F27"/>
    <mergeCell ref="B28:F28"/>
    <mergeCell ref="B29:F29"/>
    <mergeCell ref="B30:F30"/>
    <mergeCell ref="B31:F31"/>
    <mergeCell ref="B32:F32"/>
    <mergeCell ref="B33:F33"/>
    <mergeCell ref="B34:F34"/>
    <mergeCell ref="B35:F35"/>
    <mergeCell ref="B36:F36"/>
    <mergeCell ref="B37:F37"/>
    <mergeCell ref="B38:F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52"/>
    <col collapsed="false" customWidth="true" hidden="false" outlineLevel="0" max="3" min="3" style="1" width="10"/>
    <col collapsed="false" customWidth="true" hidden="false" outlineLevel="0" max="6" min="4" style="1" width="14"/>
  </cols>
  <sheetData>
    <row r="1" customFormat="false" ht="15" hidden="false" customHeight="true" outlineLevel="0" collapsed="false">
      <c r="A1" s="59" t="s">
        <v>114</v>
      </c>
      <c r="F1" s="60" t="s">
        <v>115</v>
      </c>
    </row>
    <row r="2" customFormat="false" ht="15" hidden="false" customHeight="true" outlineLevel="0" collapsed="false">
      <c r="A2" s="61" t="s">
        <v>116</v>
      </c>
    </row>
    <row r="3" customFormat="false" ht="15" hidden="false" customHeight="true" outlineLevel="0" collapsed="false">
      <c r="A3" s="61" t="s">
        <v>117</v>
      </c>
    </row>
    <row r="4" customFormat="false" ht="15" hidden="false" customHeight="true" outlineLevel="0" collapsed="false">
      <c r="A4" s="62" t="s">
        <v>118</v>
      </c>
      <c r="F4" s="63" t="s">
        <v>119</v>
      </c>
    </row>
    <row r="6" customFormat="false" ht="15" hidden="false" customHeight="true" outlineLevel="0" collapsed="false">
      <c r="A6" s="64" t="s">
        <v>215</v>
      </c>
      <c r="B6" s="64"/>
      <c r="C6" s="64"/>
      <c r="D6" s="64"/>
      <c r="E6" s="64"/>
      <c r="F6" s="64"/>
    </row>
    <row r="7" customFormat="false" ht="15" hidden="false" customHeight="true" outlineLevel="0" collapsed="false">
      <c r="A7" s="86" t="s">
        <v>216</v>
      </c>
      <c r="B7" s="86"/>
      <c r="C7" s="86"/>
      <c r="D7" s="86"/>
      <c r="E7" s="86"/>
      <c r="F7" s="86"/>
    </row>
    <row r="9" customFormat="false" ht="15" hidden="false" customHeight="true" outlineLevel="0" collapsed="false">
      <c r="A9" s="87" t="s">
        <v>122</v>
      </c>
      <c r="B9" s="87"/>
      <c r="C9" s="87"/>
      <c r="D9" s="87"/>
      <c r="E9" s="87"/>
      <c r="F9" s="87"/>
    </row>
    <row r="10" customFormat="false" ht="15" hidden="false" customHeight="true" outlineLevel="0" collapsed="false">
      <c r="C10" s="88" t="s">
        <v>217</v>
      </c>
      <c r="D10" s="88" t="s">
        <v>218</v>
      </c>
      <c r="E10" s="88" t="s">
        <v>219</v>
      </c>
      <c r="F10" s="88" t="s">
        <v>220</v>
      </c>
    </row>
    <row r="11" customFormat="false" ht="15" hidden="false" customHeight="true" outlineLevel="0" collapsed="false">
      <c r="A11" s="67" t="s">
        <v>221</v>
      </c>
      <c r="B11" s="67" t="s">
        <v>222</v>
      </c>
      <c r="E11" s="85" t="n">
        <v>750000</v>
      </c>
    </row>
    <row r="12" customFormat="false" ht="15" hidden="false" customHeight="true" outlineLevel="0" collapsed="false">
      <c r="A12" s="67" t="s">
        <v>223</v>
      </c>
      <c r="B12" s="67" t="s">
        <v>224</v>
      </c>
      <c r="E12" s="85" t="n">
        <v>35000</v>
      </c>
    </row>
    <row r="13" customFormat="false" ht="15" hidden="false" customHeight="true" outlineLevel="0" collapsed="false">
      <c r="A13" s="67" t="s">
        <v>225</v>
      </c>
      <c r="B13" s="67" t="s">
        <v>226</v>
      </c>
      <c r="E13" s="85" t="n">
        <v>125000</v>
      </c>
    </row>
    <row r="14" customFormat="false" ht="15" hidden="false" customHeight="true" outlineLevel="0" collapsed="false">
      <c r="A14" s="67" t="s">
        <v>227</v>
      </c>
      <c r="B14" s="67" t="s">
        <v>228</v>
      </c>
      <c r="E14" s="85" t="n">
        <v>45000</v>
      </c>
    </row>
    <row r="15" customFormat="false" ht="15" hidden="false" customHeight="true" outlineLevel="0" collapsed="false">
      <c r="A15" s="67" t="s">
        <v>229</v>
      </c>
      <c r="B15" s="67" t="s">
        <v>230</v>
      </c>
      <c r="E15" s="85" t="n">
        <v>20000</v>
      </c>
    </row>
    <row r="16" customFormat="false" ht="15" hidden="false" customHeight="true" outlineLevel="0" collapsed="false">
      <c r="A16" s="67" t="s">
        <v>231</v>
      </c>
      <c r="B16" s="67" t="s">
        <v>232</v>
      </c>
      <c r="E16" s="85" t="n">
        <v>12000</v>
      </c>
    </row>
    <row r="17" customFormat="false" ht="15" hidden="false" customHeight="true" outlineLevel="0" collapsed="false">
      <c r="A17" s="67" t="s">
        <v>233</v>
      </c>
      <c r="B17" s="67" t="s">
        <v>234</v>
      </c>
      <c r="E17" s="85" t="n">
        <v>25000</v>
      </c>
    </row>
    <row r="18" customFormat="false" ht="15" hidden="false" customHeight="true" outlineLevel="0" collapsed="false">
      <c r="A18" s="67" t="s">
        <v>235</v>
      </c>
      <c r="B18" s="67" t="s">
        <v>236</v>
      </c>
      <c r="C18" s="89" t="n">
        <v>25</v>
      </c>
      <c r="D18" s="85" t="n">
        <v>2000</v>
      </c>
      <c r="E18" s="73" t="n">
        <f aca="false">C18*D18</f>
        <v>50000</v>
      </c>
    </row>
    <row r="19" customFormat="false" ht="15" hidden="false" customHeight="true" outlineLevel="0" collapsed="false">
      <c r="A19" s="67" t="s">
        <v>237</v>
      </c>
      <c r="B19" s="67" t="s">
        <v>238</v>
      </c>
      <c r="C19" s="89" t="n">
        <v>4</v>
      </c>
      <c r="D19" s="85" t="n">
        <v>2000</v>
      </c>
      <c r="E19" s="73" t="n">
        <f aca="false">C19*D19</f>
        <v>8000</v>
      </c>
    </row>
    <row r="20" customFormat="false" ht="15" hidden="false" customHeight="true" outlineLevel="0" collapsed="false">
      <c r="A20" s="67" t="s">
        <v>239</v>
      </c>
      <c r="B20" s="67" t="s">
        <v>240</v>
      </c>
      <c r="E20" s="85" t="n">
        <v>4500</v>
      </c>
    </row>
    <row r="21" customFormat="false" ht="15" hidden="false" customHeight="true" outlineLevel="0" collapsed="false">
      <c r="A21" s="67" t="s">
        <v>241</v>
      </c>
      <c r="B21" s="67" t="s">
        <v>242</v>
      </c>
      <c r="E21" s="85" t="n">
        <v>3000</v>
      </c>
    </row>
    <row r="22" customFormat="false" ht="15" hidden="false" customHeight="true" outlineLevel="0" collapsed="false">
      <c r="A22" s="67" t="s">
        <v>243</v>
      </c>
      <c r="B22" s="67" t="s">
        <v>244</v>
      </c>
      <c r="E22" s="85" t="n">
        <v>200000</v>
      </c>
    </row>
    <row r="23" customFormat="false" ht="15" hidden="false" customHeight="true" outlineLevel="0" collapsed="false">
      <c r="A23" s="67" t="s">
        <v>245</v>
      </c>
      <c r="B23" s="67" t="s">
        <v>246</v>
      </c>
      <c r="E23" s="85" t="n">
        <v>22000</v>
      </c>
    </row>
    <row r="24" customFormat="false" ht="15" hidden="false" customHeight="true" outlineLevel="0" collapsed="false">
      <c r="A24" s="67" t="s">
        <v>247</v>
      </c>
      <c r="B24" s="67" t="s">
        <v>248</v>
      </c>
      <c r="E24" s="85" t="n">
        <v>65000</v>
      </c>
    </row>
    <row r="25" customFormat="false" ht="15" hidden="false" customHeight="true" outlineLevel="0" collapsed="false">
      <c r="A25" s="67" t="s">
        <v>249</v>
      </c>
      <c r="B25" s="67" t="s">
        <v>250</v>
      </c>
      <c r="E25" s="85" t="n">
        <v>15000</v>
      </c>
    </row>
    <row r="26" customFormat="false" ht="15" hidden="false" customHeight="true" outlineLevel="0" collapsed="false">
      <c r="A26" s="67" t="s">
        <v>251</v>
      </c>
      <c r="B26" s="67" t="s">
        <v>252</v>
      </c>
      <c r="E26" s="85" t="n">
        <v>140000</v>
      </c>
    </row>
    <row r="27" customFormat="false" ht="15" hidden="false" customHeight="true" outlineLevel="0" collapsed="false">
      <c r="A27" s="67" t="s">
        <v>253</v>
      </c>
      <c r="B27" s="67" t="s">
        <v>254</v>
      </c>
      <c r="E27" s="85" t="n">
        <v>15000</v>
      </c>
    </row>
    <row r="28" customFormat="false" ht="15" hidden="false" customHeight="true" outlineLevel="0" collapsed="false">
      <c r="A28" s="67" t="s">
        <v>255</v>
      </c>
      <c r="B28" s="67" t="s">
        <v>256</v>
      </c>
      <c r="E28" s="85" t="n">
        <v>30000</v>
      </c>
    </row>
    <row r="29" customFormat="false" ht="15" hidden="false" customHeight="true" outlineLevel="0" collapsed="false">
      <c r="A29" s="67" t="s">
        <v>257</v>
      </c>
      <c r="B29" s="67" t="s">
        <v>258</v>
      </c>
      <c r="E29" s="85" t="n">
        <v>385000</v>
      </c>
    </row>
    <row r="30" customFormat="false" ht="15" hidden="false" customHeight="true" outlineLevel="0" collapsed="false">
      <c r="A30" s="67" t="s">
        <v>259</v>
      </c>
      <c r="B30" s="67" t="s">
        <v>260</v>
      </c>
      <c r="E30" s="85" t="n">
        <v>55000</v>
      </c>
    </row>
    <row r="31" customFormat="false" ht="15" hidden="false" customHeight="true" outlineLevel="0" collapsed="false">
      <c r="A31" s="67" t="s">
        <v>261</v>
      </c>
      <c r="B31" s="67" t="s">
        <v>262</v>
      </c>
      <c r="E31" s="85" t="n">
        <v>75000</v>
      </c>
    </row>
    <row r="32" customFormat="false" ht="15" hidden="false" customHeight="true" outlineLevel="0" collapsed="false">
      <c r="A32" s="67" t="s">
        <v>263</v>
      </c>
      <c r="B32" s="67" t="s">
        <v>264</v>
      </c>
      <c r="E32" s="85" t="n">
        <v>12000</v>
      </c>
    </row>
    <row r="33" customFormat="false" ht="15" hidden="false" customHeight="true" outlineLevel="0" collapsed="false">
      <c r="A33" s="67" t="s">
        <v>265</v>
      </c>
      <c r="B33" s="67" t="s">
        <v>266</v>
      </c>
      <c r="C33" s="89" t="n">
        <v>9</v>
      </c>
      <c r="D33" s="85" t="n">
        <v>750</v>
      </c>
      <c r="E33" s="73" t="n">
        <f aca="false">C33*D33</f>
        <v>6750</v>
      </c>
    </row>
    <row r="34" customFormat="false" ht="15" hidden="false" customHeight="true" outlineLevel="0" collapsed="false">
      <c r="A34" s="67" t="s">
        <v>267</v>
      </c>
      <c r="B34" s="67" t="s">
        <v>268</v>
      </c>
      <c r="E34" s="85" t="n">
        <v>8000</v>
      </c>
    </row>
    <row r="35" customFormat="false" ht="15" hidden="false" customHeight="true" outlineLevel="0" collapsed="false">
      <c r="A35" s="67" t="s">
        <v>269</v>
      </c>
      <c r="B35" s="67" t="s">
        <v>270</v>
      </c>
      <c r="E35" s="85" t="n">
        <v>18000</v>
      </c>
    </row>
    <row r="36" customFormat="false" ht="15" hidden="false" customHeight="true" outlineLevel="0" collapsed="false">
      <c r="A36" s="67" t="s">
        <v>271</v>
      </c>
      <c r="B36" s="67" t="s">
        <v>272</v>
      </c>
      <c r="E36" s="85" t="n">
        <v>30000</v>
      </c>
    </row>
    <row r="37" customFormat="false" ht="15" hidden="false" customHeight="true" outlineLevel="0" collapsed="false">
      <c r="A37" s="67" t="s">
        <v>273</v>
      </c>
      <c r="B37" s="67" t="s">
        <v>274</v>
      </c>
      <c r="E37" s="85" t="n">
        <v>85000</v>
      </c>
    </row>
    <row r="38" customFormat="false" ht="15" hidden="false" customHeight="true" outlineLevel="0" collapsed="false">
      <c r="A38" s="67" t="s">
        <v>275</v>
      </c>
      <c r="B38" s="67" t="s">
        <v>276</v>
      </c>
      <c r="E38" s="85" t="n">
        <v>75000</v>
      </c>
    </row>
    <row r="40" customFormat="false" ht="15" hidden="false" customHeight="true" outlineLevel="0" collapsed="false">
      <c r="B40" s="69" t="s">
        <v>277</v>
      </c>
      <c r="F40" s="70" t="n">
        <f aca="false">SUM(E11:E38)</f>
        <v>2314250</v>
      </c>
    </row>
    <row r="42" customFormat="false" ht="15" hidden="false" customHeight="true" outlineLevel="0" collapsed="false">
      <c r="A42" s="87" t="s">
        <v>123</v>
      </c>
      <c r="B42" s="87"/>
      <c r="C42" s="87"/>
      <c r="D42" s="87"/>
      <c r="E42" s="87"/>
      <c r="F42" s="87"/>
    </row>
    <row r="43" customFormat="false" ht="15" hidden="false" customHeight="true" outlineLevel="0" collapsed="false">
      <c r="C43" s="88" t="s">
        <v>217</v>
      </c>
      <c r="D43" s="88" t="s">
        <v>218</v>
      </c>
      <c r="E43" s="88" t="s">
        <v>219</v>
      </c>
      <c r="F43" s="88" t="s">
        <v>220</v>
      </c>
    </row>
    <row r="44" customFormat="false" ht="15" hidden="false" customHeight="true" outlineLevel="0" collapsed="false">
      <c r="A44" s="67" t="s">
        <v>278</v>
      </c>
      <c r="B44" s="67" t="s">
        <v>279</v>
      </c>
      <c r="E44" s="85" t="n">
        <v>110000</v>
      </c>
    </row>
    <row r="45" customFormat="false" ht="15" hidden="false" customHeight="true" outlineLevel="0" collapsed="false">
      <c r="A45" s="67" t="s">
        <v>280</v>
      </c>
      <c r="B45" s="67" t="s">
        <v>281</v>
      </c>
      <c r="E45" s="85" t="n">
        <v>125000</v>
      </c>
    </row>
    <row r="46" customFormat="false" ht="15" hidden="false" customHeight="true" outlineLevel="0" collapsed="false">
      <c r="A46" s="67" t="s">
        <v>282</v>
      </c>
      <c r="B46" s="67" t="s">
        <v>283</v>
      </c>
      <c r="E46" s="85" t="n">
        <v>12000</v>
      </c>
    </row>
    <row r="47" customFormat="false" ht="15" hidden="false" customHeight="true" outlineLevel="0" collapsed="false">
      <c r="A47" s="67" t="s">
        <v>284</v>
      </c>
      <c r="B47" s="67" t="s">
        <v>285</v>
      </c>
      <c r="E47" s="85" t="n">
        <v>20000</v>
      </c>
    </row>
    <row r="48" customFormat="false" ht="15" hidden="false" customHeight="true" outlineLevel="0" collapsed="false">
      <c r="A48" s="67" t="s">
        <v>286</v>
      </c>
      <c r="B48" s="67" t="s">
        <v>287</v>
      </c>
      <c r="E48" s="85" t="n">
        <v>8000</v>
      </c>
    </row>
    <row r="49" customFormat="false" ht="15" hidden="false" customHeight="true" outlineLevel="0" collapsed="false">
      <c r="A49" s="67" t="s">
        <v>288</v>
      </c>
      <c r="B49" s="67" t="s">
        <v>289</v>
      </c>
      <c r="E49" s="85" t="n">
        <v>28000</v>
      </c>
    </row>
    <row r="50" customFormat="false" ht="15" hidden="false" customHeight="true" outlineLevel="0" collapsed="false">
      <c r="A50" s="67" t="s">
        <v>290</v>
      </c>
      <c r="B50" s="67" t="s">
        <v>291</v>
      </c>
      <c r="E50" s="85" t="n">
        <v>9000</v>
      </c>
    </row>
    <row r="51" customFormat="false" ht="15" hidden="false" customHeight="true" outlineLevel="0" collapsed="false">
      <c r="A51" s="67" t="s">
        <v>292</v>
      </c>
      <c r="B51" s="67" t="s">
        <v>293</v>
      </c>
      <c r="E51" s="85" t="n">
        <v>18000</v>
      </c>
    </row>
    <row r="52" customFormat="false" ht="15" hidden="false" customHeight="true" outlineLevel="0" collapsed="false">
      <c r="A52" s="67" t="s">
        <v>294</v>
      </c>
      <c r="B52" s="67" t="s">
        <v>295</v>
      </c>
      <c r="E52" s="85" t="n">
        <v>6000</v>
      </c>
    </row>
    <row r="53" customFormat="false" ht="15" hidden="false" customHeight="true" outlineLevel="0" collapsed="false">
      <c r="A53" s="67" t="s">
        <v>296</v>
      </c>
      <c r="B53" s="67" t="s">
        <v>297</v>
      </c>
      <c r="E53" s="85" t="n">
        <v>45000</v>
      </c>
    </row>
    <row r="54" customFormat="false" ht="15" hidden="false" customHeight="true" outlineLevel="0" collapsed="false">
      <c r="A54" s="67" t="s">
        <v>298</v>
      </c>
      <c r="B54" s="67" t="s">
        <v>299</v>
      </c>
      <c r="E54" s="85" t="n">
        <v>22000</v>
      </c>
    </row>
    <row r="55" customFormat="false" ht="15" hidden="false" customHeight="true" outlineLevel="0" collapsed="false">
      <c r="A55" s="67" t="s">
        <v>300</v>
      </c>
      <c r="B55" s="67" t="s">
        <v>301</v>
      </c>
      <c r="E55" s="85" t="n">
        <v>12000</v>
      </c>
    </row>
    <row r="56" customFormat="false" ht="15" hidden="false" customHeight="true" outlineLevel="0" collapsed="false">
      <c r="A56" s="67" t="s">
        <v>302</v>
      </c>
      <c r="B56" s="67" t="s">
        <v>303</v>
      </c>
      <c r="E56" s="85" t="n">
        <v>22000</v>
      </c>
    </row>
    <row r="57" customFormat="false" ht="15" hidden="false" customHeight="true" outlineLevel="0" collapsed="false">
      <c r="A57" s="67" t="s">
        <v>304</v>
      </c>
      <c r="B57" s="67" t="s">
        <v>305</v>
      </c>
      <c r="E57" s="85" t="n">
        <v>7000</v>
      </c>
    </row>
    <row r="58" customFormat="false" ht="15" hidden="false" customHeight="true" outlineLevel="0" collapsed="false">
      <c r="A58" s="67" t="s">
        <v>306</v>
      </c>
      <c r="B58" s="67" t="s">
        <v>307</v>
      </c>
      <c r="E58" s="85" t="n">
        <v>25000</v>
      </c>
    </row>
    <row r="59" customFormat="false" ht="15" hidden="false" customHeight="true" outlineLevel="0" collapsed="false">
      <c r="A59" s="67" t="s">
        <v>308</v>
      </c>
      <c r="B59" s="67" t="s">
        <v>309</v>
      </c>
      <c r="E59" s="85" t="n">
        <v>8000</v>
      </c>
    </row>
    <row r="60" customFormat="false" ht="15" hidden="false" customHeight="true" outlineLevel="0" collapsed="false">
      <c r="A60" s="67" t="s">
        <v>310</v>
      </c>
      <c r="B60" s="67" t="s">
        <v>311</v>
      </c>
      <c r="E60" s="85" t="n">
        <v>9000</v>
      </c>
    </row>
    <row r="61" customFormat="false" ht="15" hidden="false" customHeight="true" outlineLevel="0" collapsed="false">
      <c r="A61" s="67" t="s">
        <v>312</v>
      </c>
      <c r="B61" s="67" t="s">
        <v>313</v>
      </c>
      <c r="E61" s="85" t="n">
        <v>4000</v>
      </c>
    </row>
    <row r="62" customFormat="false" ht="15" hidden="false" customHeight="true" outlineLevel="0" collapsed="false">
      <c r="A62" s="67" t="s">
        <v>314</v>
      </c>
      <c r="B62" s="67" t="s">
        <v>315</v>
      </c>
      <c r="E62" s="85" t="n">
        <v>5000</v>
      </c>
    </row>
    <row r="63" customFormat="false" ht="15" hidden="false" customHeight="true" outlineLevel="0" collapsed="false">
      <c r="A63" s="67" t="s">
        <v>316</v>
      </c>
      <c r="B63" s="67" t="s">
        <v>317</v>
      </c>
      <c r="E63" s="85" t="n">
        <v>2500</v>
      </c>
    </row>
    <row r="64" customFormat="false" ht="15" hidden="false" customHeight="true" outlineLevel="0" collapsed="false">
      <c r="A64" s="67" t="s">
        <v>318</v>
      </c>
      <c r="B64" s="67" t="s">
        <v>319</v>
      </c>
      <c r="E64" s="85" t="n">
        <v>2500</v>
      </c>
    </row>
    <row r="65" customFormat="false" ht="15" hidden="false" customHeight="true" outlineLevel="0" collapsed="false">
      <c r="A65" s="67" t="s">
        <v>320</v>
      </c>
      <c r="B65" s="67" t="s">
        <v>321</v>
      </c>
      <c r="E65" s="85" t="n">
        <v>3500</v>
      </c>
    </row>
    <row r="66" customFormat="false" ht="15" hidden="false" customHeight="true" outlineLevel="0" collapsed="false">
      <c r="A66" s="67" t="s">
        <v>322</v>
      </c>
      <c r="B66" s="67" t="s">
        <v>323</v>
      </c>
      <c r="E66" s="85" t="n">
        <v>3500</v>
      </c>
    </row>
    <row r="67" customFormat="false" ht="15" hidden="false" customHeight="true" outlineLevel="0" collapsed="false">
      <c r="A67" s="67" t="s">
        <v>324</v>
      </c>
      <c r="B67" s="67" t="s">
        <v>325</v>
      </c>
      <c r="E67" s="85" t="n">
        <v>20000</v>
      </c>
    </row>
    <row r="68" customFormat="false" ht="15" hidden="false" customHeight="true" outlineLevel="0" collapsed="false">
      <c r="A68" s="67" t="s">
        <v>326</v>
      </c>
      <c r="B68" s="67" t="s">
        <v>327</v>
      </c>
      <c r="E68" s="85" t="n">
        <v>5000</v>
      </c>
    </row>
    <row r="69" customFormat="false" ht="15" hidden="false" customHeight="true" outlineLevel="0" collapsed="false">
      <c r="A69" s="67" t="s">
        <v>328</v>
      </c>
      <c r="B69" s="67" t="s">
        <v>329</v>
      </c>
      <c r="E69" s="85" t="n">
        <v>5000</v>
      </c>
    </row>
    <row r="70" customFormat="false" ht="15" hidden="false" customHeight="true" outlineLevel="0" collapsed="false">
      <c r="A70" s="67" t="s">
        <v>330</v>
      </c>
      <c r="B70" s="67" t="s">
        <v>331</v>
      </c>
      <c r="E70" s="85" t="n">
        <v>3500</v>
      </c>
    </row>
    <row r="71" customFormat="false" ht="15" hidden="false" customHeight="true" outlineLevel="0" collapsed="false">
      <c r="A71" s="67" t="s">
        <v>332</v>
      </c>
      <c r="B71" s="67" t="s">
        <v>333</v>
      </c>
      <c r="E71" s="85" t="n">
        <v>3000</v>
      </c>
    </row>
    <row r="72" customFormat="false" ht="15" hidden="false" customHeight="true" outlineLevel="0" collapsed="false">
      <c r="A72" s="67" t="s">
        <v>334</v>
      </c>
      <c r="B72" s="67" t="s">
        <v>335</v>
      </c>
      <c r="E72" s="85" t="n">
        <v>20000</v>
      </c>
    </row>
    <row r="73" customFormat="false" ht="15" hidden="false" customHeight="true" outlineLevel="0" collapsed="false">
      <c r="A73" s="67" t="s">
        <v>336</v>
      </c>
      <c r="B73" s="67" t="s">
        <v>337</v>
      </c>
      <c r="E73" s="85" t="n">
        <v>50000</v>
      </c>
    </row>
    <row r="74" customFormat="false" ht="15" hidden="false" customHeight="true" outlineLevel="0" collapsed="false">
      <c r="A74" s="67" t="s">
        <v>338</v>
      </c>
      <c r="B74" s="67" t="s">
        <v>339</v>
      </c>
      <c r="E74" s="85" t="n">
        <v>105000</v>
      </c>
    </row>
    <row r="75" customFormat="false" ht="15" hidden="false" customHeight="true" outlineLevel="0" collapsed="false">
      <c r="A75" s="67" t="s">
        <v>340</v>
      </c>
      <c r="B75" s="67" t="s">
        <v>341</v>
      </c>
      <c r="E75" s="85" t="n">
        <v>20000</v>
      </c>
    </row>
    <row r="76" customFormat="false" ht="15" hidden="false" customHeight="true" outlineLevel="0" collapsed="false">
      <c r="A76" s="67" t="s">
        <v>342</v>
      </c>
      <c r="B76" s="67" t="s">
        <v>343</v>
      </c>
      <c r="E76" s="85" t="n">
        <v>25000</v>
      </c>
    </row>
    <row r="77" customFormat="false" ht="15" hidden="false" customHeight="true" outlineLevel="0" collapsed="false">
      <c r="A77" s="67" t="s">
        <v>344</v>
      </c>
      <c r="B77" s="67" t="s">
        <v>345</v>
      </c>
      <c r="E77" s="85" t="n">
        <v>15000</v>
      </c>
    </row>
    <row r="78" customFormat="false" ht="15" hidden="false" customHeight="true" outlineLevel="0" collapsed="false">
      <c r="A78" s="67" t="s">
        <v>346</v>
      </c>
      <c r="B78" s="67" t="s">
        <v>347</v>
      </c>
      <c r="E78" s="85" t="n">
        <v>3500</v>
      </c>
    </row>
    <row r="79" customFormat="false" ht="15" hidden="false" customHeight="true" outlineLevel="0" collapsed="false">
      <c r="A79" s="67" t="s">
        <v>348</v>
      </c>
      <c r="B79" s="67" t="s">
        <v>349</v>
      </c>
      <c r="E79" s="85" t="n">
        <v>15000</v>
      </c>
    </row>
    <row r="80" customFormat="false" ht="15" hidden="false" customHeight="true" outlineLevel="0" collapsed="false">
      <c r="A80" s="67" t="s">
        <v>350</v>
      </c>
      <c r="B80" s="67" t="s">
        <v>351</v>
      </c>
      <c r="E80" s="85" t="n">
        <v>8000</v>
      </c>
    </row>
    <row r="81" customFormat="false" ht="15" hidden="false" customHeight="true" outlineLevel="0" collapsed="false">
      <c r="A81" s="67" t="s">
        <v>352</v>
      </c>
      <c r="B81" s="67" t="s">
        <v>353</v>
      </c>
      <c r="E81" s="85" t="n">
        <v>7500</v>
      </c>
    </row>
    <row r="82" customFormat="false" ht="15" hidden="false" customHeight="true" outlineLevel="0" collapsed="false">
      <c r="A82" s="67" t="s">
        <v>354</v>
      </c>
      <c r="B82" s="67" t="s">
        <v>355</v>
      </c>
      <c r="E82" s="85" t="n">
        <v>10000</v>
      </c>
    </row>
    <row r="83" customFormat="false" ht="15" hidden="false" customHeight="true" outlineLevel="0" collapsed="false">
      <c r="A83" s="67" t="s">
        <v>356</v>
      </c>
      <c r="B83" s="67" t="s">
        <v>357</v>
      </c>
      <c r="D83" s="79" t="n">
        <v>0.045</v>
      </c>
      <c r="E83" s="73" t="n">
        <f aca="false">D83*(E45+E46+E47+E48)</f>
        <v>7425</v>
      </c>
    </row>
    <row r="84" customFormat="false" ht="15" hidden="false" customHeight="true" outlineLevel="0" collapsed="false">
      <c r="A84" s="67" t="s">
        <v>358</v>
      </c>
      <c r="B84" s="67" t="s">
        <v>359</v>
      </c>
      <c r="C84" s="89" t="n">
        <v>32</v>
      </c>
      <c r="D84" s="85" t="n">
        <v>187</v>
      </c>
      <c r="E84" s="73" t="n">
        <f aca="false">C84*D84</f>
        <v>5984</v>
      </c>
    </row>
    <row r="85" customFormat="false" ht="15" hidden="false" customHeight="true" outlineLevel="0" collapsed="false">
      <c r="A85" s="67" t="s">
        <v>360</v>
      </c>
      <c r="B85" s="67" t="s">
        <v>361</v>
      </c>
      <c r="D85" s="79" t="n">
        <v>0.13</v>
      </c>
      <c r="E85" s="73" t="n">
        <f aca="false">D85*SUM(E49:E59)</f>
        <v>26260</v>
      </c>
    </row>
    <row r="86" customFormat="false" ht="15" hidden="false" customHeight="true" outlineLevel="0" collapsed="false">
      <c r="A86" s="67" t="s">
        <v>362</v>
      </c>
      <c r="B86" s="67" t="s">
        <v>363</v>
      </c>
      <c r="D86" s="79" t="n">
        <v>0.09</v>
      </c>
      <c r="E86" s="73" t="n">
        <f aca="false">D86*SUM(E49:E59)</f>
        <v>18180</v>
      </c>
    </row>
    <row r="87" customFormat="false" ht="15" hidden="false" customHeight="true" outlineLevel="0" collapsed="false">
      <c r="A87" s="67" t="s">
        <v>364</v>
      </c>
      <c r="B87" s="67" t="s">
        <v>365</v>
      </c>
      <c r="D87" s="79" t="n">
        <v>0.25</v>
      </c>
      <c r="E87" s="73" t="n">
        <f aca="false">D87*SUM(E49:E59)</f>
        <v>50500</v>
      </c>
    </row>
    <row r="88" customFormat="false" ht="15" hidden="false" customHeight="true" outlineLevel="0" collapsed="false">
      <c r="A88" s="67" t="s">
        <v>366</v>
      </c>
      <c r="B88" s="67" t="s">
        <v>367</v>
      </c>
      <c r="D88" s="79" t="n">
        <v>0.18</v>
      </c>
      <c r="E88" s="73" t="n">
        <f aca="false">D88*SUM(E45:E71)</f>
        <v>78030</v>
      </c>
    </row>
    <row r="90" customFormat="false" ht="15" hidden="false" customHeight="true" outlineLevel="0" collapsed="false">
      <c r="B90" s="69" t="s">
        <v>368</v>
      </c>
      <c r="F90" s="70" t="n">
        <f aca="false">SUM(E44:E88)</f>
        <v>1008879</v>
      </c>
    </row>
    <row r="92" customFormat="false" ht="15" hidden="false" customHeight="true" outlineLevel="0" collapsed="false">
      <c r="A92" s="87" t="s">
        <v>369</v>
      </c>
      <c r="B92" s="87"/>
      <c r="C92" s="87"/>
      <c r="D92" s="87"/>
      <c r="E92" s="87"/>
      <c r="F92" s="87"/>
    </row>
    <row r="93" customFormat="false" ht="15" hidden="false" customHeight="true" outlineLevel="0" collapsed="false">
      <c r="C93" s="88" t="s">
        <v>217</v>
      </c>
      <c r="D93" s="88" t="s">
        <v>218</v>
      </c>
      <c r="E93" s="88" t="s">
        <v>219</v>
      </c>
      <c r="F93" s="88" t="s">
        <v>220</v>
      </c>
    </row>
    <row r="94" customFormat="false" ht="15" hidden="false" customHeight="true" outlineLevel="0" collapsed="false">
      <c r="A94" s="67" t="s">
        <v>370</v>
      </c>
      <c r="B94" s="67" t="s">
        <v>371</v>
      </c>
      <c r="C94" s="89" t="n">
        <v>0</v>
      </c>
      <c r="D94" s="85" t="n">
        <v>0</v>
      </c>
      <c r="E94" s="73" t="n">
        <f aca="false">C94*D94</f>
        <v>0</v>
      </c>
    </row>
    <row r="95" customFormat="false" ht="15" hidden="false" customHeight="true" outlineLevel="0" collapsed="false">
      <c r="A95" s="67" t="s">
        <v>372</v>
      </c>
      <c r="B95" s="67" t="s">
        <v>373</v>
      </c>
      <c r="C95" s="89" t="n">
        <v>24</v>
      </c>
      <c r="D95" s="85" t="n">
        <v>1600</v>
      </c>
      <c r="E95" s="73" t="n">
        <f aca="false">C95*D95</f>
        <v>38400</v>
      </c>
    </row>
    <row r="96" customFormat="false" ht="15" hidden="false" customHeight="true" outlineLevel="0" collapsed="false">
      <c r="A96" s="67" t="s">
        <v>374</v>
      </c>
      <c r="B96" s="67" t="s">
        <v>375</v>
      </c>
      <c r="C96" s="89" t="n">
        <v>36</v>
      </c>
      <c r="D96" s="85" t="n">
        <v>1400</v>
      </c>
      <c r="E96" s="73" t="n">
        <f aca="false">C96*D96</f>
        <v>50400</v>
      </c>
    </row>
    <row r="97" customFormat="false" ht="15" hidden="false" customHeight="true" outlineLevel="0" collapsed="false">
      <c r="A97" s="67" t="s">
        <v>376</v>
      </c>
      <c r="B97" s="67" t="s">
        <v>377</v>
      </c>
      <c r="C97" s="89" t="n">
        <v>20</v>
      </c>
      <c r="D97" s="85" t="n">
        <v>1300</v>
      </c>
      <c r="E97" s="73" t="n">
        <f aca="false">C97*D97</f>
        <v>26000</v>
      </c>
    </row>
    <row r="98" customFormat="false" ht="15" hidden="false" customHeight="true" outlineLevel="0" collapsed="false">
      <c r="A98" s="67" t="s">
        <v>378</v>
      </c>
      <c r="B98" s="67" t="s">
        <v>379</v>
      </c>
      <c r="C98" s="89" t="n">
        <v>4</v>
      </c>
      <c r="D98" s="85" t="n">
        <v>234</v>
      </c>
      <c r="E98" s="73" t="n">
        <f aca="false">C98*D98</f>
        <v>936</v>
      </c>
    </row>
    <row r="99" customFormat="false" ht="15" hidden="false" customHeight="true" outlineLevel="0" collapsed="false">
      <c r="A99" s="67" t="s">
        <v>380</v>
      </c>
      <c r="B99" s="67" t="s">
        <v>381</v>
      </c>
      <c r="C99" s="89" t="n">
        <v>16</v>
      </c>
      <c r="D99" s="85" t="n">
        <v>1400</v>
      </c>
      <c r="E99" s="73" t="n">
        <f aca="false">C99*D99</f>
        <v>22400</v>
      </c>
    </row>
    <row r="100" customFormat="false" ht="15" hidden="false" customHeight="true" outlineLevel="0" collapsed="false">
      <c r="A100" s="67" t="s">
        <v>382</v>
      </c>
      <c r="B100" s="67" t="s">
        <v>383</v>
      </c>
      <c r="C100" s="89" t="n">
        <v>4</v>
      </c>
      <c r="D100" s="85" t="n">
        <v>1900</v>
      </c>
      <c r="E100" s="73" t="n">
        <f aca="false">C100*D100</f>
        <v>7600</v>
      </c>
    </row>
    <row r="101" customFormat="false" ht="15" hidden="false" customHeight="true" outlineLevel="0" collapsed="false">
      <c r="A101" s="67" t="s">
        <v>384</v>
      </c>
      <c r="B101" s="67" t="s">
        <v>385</v>
      </c>
      <c r="C101" s="89" t="n">
        <v>1</v>
      </c>
      <c r="D101" s="85" t="n">
        <v>1900</v>
      </c>
      <c r="E101" s="73" t="n">
        <f aca="false">C101*D101</f>
        <v>1900</v>
      </c>
    </row>
    <row r="102" customFormat="false" ht="15" hidden="false" customHeight="true" outlineLevel="0" collapsed="false">
      <c r="A102" s="67" t="s">
        <v>386</v>
      </c>
      <c r="B102" s="67" t="s">
        <v>387</v>
      </c>
      <c r="C102" s="89" t="n">
        <v>2</v>
      </c>
      <c r="D102" s="85" t="n">
        <v>630</v>
      </c>
      <c r="E102" s="73" t="n">
        <f aca="false">C102*D102</f>
        <v>1260</v>
      </c>
    </row>
    <row r="103" customFormat="false" ht="15" hidden="false" customHeight="true" outlineLevel="0" collapsed="false">
      <c r="A103" s="67" t="s">
        <v>388</v>
      </c>
      <c r="B103" s="67" t="s">
        <v>389</v>
      </c>
      <c r="C103" s="89" t="n">
        <v>8</v>
      </c>
      <c r="D103" s="85" t="n">
        <v>1750</v>
      </c>
      <c r="E103" s="73" t="n">
        <f aca="false">C103*D103</f>
        <v>14000</v>
      </c>
    </row>
    <row r="104" customFormat="false" ht="15" hidden="false" customHeight="true" outlineLevel="0" collapsed="false">
      <c r="A104" s="67" t="s">
        <v>390</v>
      </c>
      <c r="B104" s="67" t="s">
        <v>391</v>
      </c>
      <c r="C104" s="89" t="n">
        <v>4</v>
      </c>
      <c r="D104" s="85" t="n">
        <v>580</v>
      </c>
      <c r="E104" s="73" t="n">
        <f aca="false">C104*D104</f>
        <v>2320</v>
      </c>
    </row>
    <row r="105" customFormat="false" ht="15" hidden="false" customHeight="true" outlineLevel="0" collapsed="false">
      <c r="A105" s="67" t="s">
        <v>392</v>
      </c>
      <c r="B105" s="67" t="s">
        <v>393</v>
      </c>
      <c r="C105" s="89" t="n">
        <v>4</v>
      </c>
      <c r="D105" s="85" t="n">
        <v>1750</v>
      </c>
      <c r="E105" s="73" t="n">
        <f aca="false">C105*D105</f>
        <v>7000</v>
      </c>
    </row>
    <row r="106" customFormat="false" ht="15" hidden="false" customHeight="true" outlineLevel="0" collapsed="false">
      <c r="A106" s="67" t="s">
        <v>394</v>
      </c>
      <c r="B106" s="67" t="s">
        <v>395</v>
      </c>
      <c r="C106" s="89" t="n">
        <v>50</v>
      </c>
      <c r="D106" s="85" t="n">
        <v>260</v>
      </c>
      <c r="E106" s="73" t="n">
        <f aca="false">C106*D106</f>
        <v>13000</v>
      </c>
    </row>
    <row r="107" customFormat="false" ht="15" hidden="false" customHeight="true" outlineLevel="0" collapsed="false">
      <c r="A107" s="67" t="s">
        <v>396</v>
      </c>
      <c r="B107" s="67" t="s">
        <v>397</v>
      </c>
      <c r="C107" s="89" t="n">
        <v>8</v>
      </c>
      <c r="D107" s="85" t="n">
        <v>800</v>
      </c>
      <c r="E107" s="73" t="n">
        <f aca="false">C107*D107</f>
        <v>6400</v>
      </c>
    </row>
    <row r="108" customFormat="false" ht="15" hidden="false" customHeight="true" outlineLevel="0" collapsed="false">
      <c r="A108" s="67" t="s">
        <v>398</v>
      </c>
      <c r="B108" s="67" t="s">
        <v>399</v>
      </c>
      <c r="C108" s="89" t="n">
        <v>4</v>
      </c>
      <c r="D108" s="85" t="n">
        <v>1700</v>
      </c>
      <c r="E108" s="73" t="n">
        <f aca="false">C108*D108</f>
        <v>6800</v>
      </c>
    </row>
    <row r="109" customFormat="false" ht="15" hidden="false" customHeight="true" outlineLevel="0" collapsed="false">
      <c r="A109" s="67" t="s">
        <v>400</v>
      </c>
      <c r="B109" s="67" t="s">
        <v>401</v>
      </c>
      <c r="C109" s="89" t="n">
        <v>20</v>
      </c>
      <c r="D109" s="85" t="n">
        <v>1100</v>
      </c>
      <c r="E109" s="73" t="n">
        <f aca="false">C109*D109</f>
        <v>22000</v>
      </c>
    </row>
    <row r="110" customFormat="false" ht="15" hidden="false" customHeight="true" outlineLevel="0" collapsed="false">
      <c r="A110" s="67" t="s">
        <v>402</v>
      </c>
      <c r="B110" s="67" t="s">
        <v>403</v>
      </c>
      <c r="C110" s="89" t="n">
        <v>20</v>
      </c>
      <c r="D110" s="85" t="n">
        <v>95</v>
      </c>
      <c r="E110" s="73" t="n">
        <f aca="false">C110*D110</f>
        <v>1900</v>
      </c>
    </row>
    <row r="111" customFormat="false" ht="15" hidden="false" customHeight="true" outlineLevel="0" collapsed="false">
      <c r="A111" s="67" t="s">
        <v>404</v>
      </c>
      <c r="B111" s="67" t="s">
        <v>405</v>
      </c>
      <c r="E111" s="85" t="n">
        <v>3000</v>
      </c>
    </row>
    <row r="112" customFormat="false" ht="15" hidden="false" customHeight="true" outlineLevel="0" collapsed="false">
      <c r="A112" s="67" t="s">
        <v>406</v>
      </c>
      <c r="B112" s="67" t="s">
        <v>407</v>
      </c>
      <c r="E112" s="85" t="n">
        <v>4500</v>
      </c>
    </row>
    <row r="113" customFormat="false" ht="15" hidden="false" customHeight="true" outlineLevel="0" collapsed="false">
      <c r="A113" s="67" t="s">
        <v>408</v>
      </c>
      <c r="B113" s="67" t="s">
        <v>409</v>
      </c>
      <c r="E113" s="85" t="n">
        <v>4000</v>
      </c>
    </row>
    <row r="114" customFormat="false" ht="15" hidden="false" customHeight="true" outlineLevel="0" collapsed="false">
      <c r="A114" s="67" t="s">
        <v>410</v>
      </c>
      <c r="B114" s="67" t="s">
        <v>411</v>
      </c>
      <c r="C114" s="89" t="n">
        <v>60</v>
      </c>
      <c r="D114" s="85" t="n">
        <v>45</v>
      </c>
      <c r="E114" s="73" t="n">
        <f aca="false">C114*D114</f>
        <v>2700</v>
      </c>
    </row>
    <row r="115" customFormat="false" ht="15" hidden="false" customHeight="true" outlineLevel="0" collapsed="false">
      <c r="A115" s="67" t="s">
        <v>412</v>
      </c>
      <c r="B115" s="67" t="s">
        <v>413</v>
      </c>
      <c r="C115" s="89" t="n">
        <v>120</v>
      </c>
      <c r="D115" s="85" t="n">
        <v>75</v>
      </c>
      <c r="E115" s="73" t="n">
        <f aca="false">C115*D115</f>
        <v>9000</v>
      </c>
    </row>
    <row r="116" customFormat="false" ht="15" hidden="false" customHeight="true" outlineLevel="0" collapsed="false">
      <c r="A116" s="67" t="s">
        <v>414</v>
      </c>
      <c r="B116" s="67" t="s">
        <v>415</v>
      </c>
      <c r="C116" s="89" t="n">
        <v>60</v>
      </c>
      <c r="D116" s="85" t="n">
        <v>85</v>
      </c>
      <c r="E116" s="73" t="n">
        <f aca="false">C116*D116</f>
        <v>5100</v>
      </c>
    </row>
    <row r="117" customFormat="false" ht="15" hidden="false" customHeight="true" outlineLevel="0" collapsed="false">
      <c r="A117" s="67" t="s">
        <v>416</v>
      </c>
      <c r="B117" s="67" t="s">
        <v>417</v>
      </c>
      <c r="C117" s="89" t="n">
        <v>4</v>
      </c>
      <c r="D117" s="85" t="n">
        <v>1400</v>
      </c>
      <c r="E117" s="73" t="n">
        <f aca="false">C117*D117</f>
        <v>5600</v>
      </c>
    </row>
    <row r="118" customFormat="false" ht="15" hidden="false" customHeight="true" outlineLevel="0" collapsed="false">
      <c r="A118" s="67" t="s">
        <v>418</v>
      </c>
      <c r="B118" s="67" t="s">
        <v>419</v>
      </c>
      <c r="C118" s="89" t="n">
        <v>4</v>
      </c>
      <c r="D118" s="85" t="n">
        <v>1000</v>
      </c>
      <c r="E118" s="73" t="n">
        <f aca="false">C118*D118</f>
        <v>4000</v>
      </c>
    </row>
    <row r="119" customFormat="false" ht="15" hidden="false" customHeight="true" outlineLevel="0" collapsed="false">
      <c r="A119" s="67" t="s">
        <v>420</v>
      </c>
      <c r="B119" s="67" t="s">
        <v>421</v>
      </c>
      <c r="C119" s="89" t="n">
        <v>4</v>
      </c>
      <c r="D119" s="85" t="n">
        <v>1100</v>
      </c>
      <c r="E119" s="73" t="n">
        <f aca="false">C119*D119</f>
        <v>4400</v>
      </c>
    </row>
    <row r="120" customFormat="false" ht="15" hidden="false" customHeight="true" outlineLevel="0" collapsed="false">
      <c r="A120" s="67" t="s">
        <v>422</v>
      </c>
      <c r="B120" s="67" t="s">
        <v>423</v>
      </c>
      <c r="C120" s="89" t="n">
        <v>8</v>
      </c>
      <c r="D120" s="85" t="n">
        <v>900</v>
      </c>
      <c r="E120" s="73" t="n">
        <f aca="false">C120*D120</f>
        <v>7200</v>
      </c>
    </row>
    <row r="121" customFormat="false" ht="15" hidden="false" customHeight="true" outlineLevel="0" collapsed="false">
      <c r="A121" s="67" t="s">
        <v>424</v>
      </c>
      <c r="B121" s="67" t="s">
        <v>425</v>
      </c>
      <c r="C121" s="89" t="n">
        <v>4</v>
      </c>
      <c r="D121" s="85" t="n">
        <v>1200</v>
      </c>
      <c r="E121" s="73" t="n">
        <f aca="false">C121*D121</f>
        <v>4800</v>
      </c>
    </row>
    <row r="122" customFormat="false" ht="15" hidden="false" customHeight="true" outlineLevel="0" collapsed="false">
      <c r="A122" s="67" t="s">
        <v>426</v>
      </c>
      <c r="B122" s="67" t="s">
        <v>427</v>
      </c>
      <c r="C122" s="89" t="n">
        <v>6</v>
      </c>
      <c r="D122" s="85" t="n">
        <v>2500</v>
      </c>
      <c r="E122" s="73" t="n">
        <f aca="false">C122*D122</f>
        <v>15000</v>
      </c>
    </row>
    <row r="123" customFormat="false" ht="15" hidden="false" customHeight="true" outlineLevel="0" collapsed="false">
      <c r="A123" s="67" t="s">
        <v>428</v>
      </c>
      <c r="B123" s="67" t="s">
        <v>429</v>
      </c>
      <c r="C123" s="89" t="n">
        <v>6</v>
      </c>
      <c r="D123" s="85" t="n">
        <v>1400</v>
      </c>
      <c r="E123" s="73" t="n">
        <f aca="false">C123*D123</f>
        <v>8400</v>
      </c>
    </row>
    <row r="124" customFormat="false" ht="15" hidden="false" customHeight="true" outlineLevel="0" collapsed="false">
      <c r="A124" s="67" t="s">
        <v>430</v>
      </c>
      <c r="B124" s="67" t="s">
        <v>431</v>
      </c>
      <c r="C124" s="89" t="n">
        <v>6</v>
      </c>
      <c r="D124" s="85" t="n">
        <v>900</v>
      </c>
      <c r="E124" s="73" t="n">
        <f aca="false">C124*D124</f>
        <v>5400</v>
      </c>
    </row>
    <row r="125" customFormat="false" ht="15" hidden="false" customHeight="true" outlineLevel="0" collapsed="false">
      <c r="A125" s="67" t="s">
        <v>432</v>
      </c>
      <c r="B125" s="67" t="s">
        <v>433</v>
      </c>
      <c r="E125" s="85" t="n">
        <v>5000</v>
      </c>
    </row>
    <row r="126" customFormat="false" ht="15" hidden="false" customHeight="true" outlineLevel="0" collapsed="false">
      <c r="A126" s="67" t="s">
        <v>434</v>
      </c>
      <c r="B126" s="67" t="s">
        <v>435</v>
      </c>
      <c r="E126" s="85" t="n">
        <v>3000</v>
      </c>
    </row>
    <row r="127" customFormat="false" ht="15" hidden="false" customHeight="true" outlineLevel="0" collapsed="false">
      <c r="A127" s="67" t="s">
        <v>436</v>
      </c>
      <c r="B127" s="67" t="s">
        <v>437</v>
      </c>
      <c r="E127" s="85" t="n">
        <v>5000</v>
      </c>
    </row>
    <row r="128" customFormat="false" ht="15" hidden="false" customHeight="true" outlineLevel="0" collapsed="false">
      <c r="A128" s="67" t="s">
        <v>438</v>
      </c>
      <c r="B128" s="67" t="s">
        <v>439</v>
      </c>
      <c r="C128" s="89" t="n">
        <v>15</v>
      </c>
      <c r="D128" s="85" t="n">
        <v>190</v>
      </c>
      <c r="E128" s="73" t="n">
        <f aca="false">C128*D128</f>
        <v>2850</v>
      </c>
    </row>
    <row r="129" customFormat="false" ht="15" hidden="false" customHeight="true" outlineLevel="0" collapsed="false">
      <c r="A129" s="67" t="s">
        <v>440</v>
      </c>
      <c r="B129" s="67" t="s">
        <v>441</v>
      </c>
      <c r="C129" s="89" t="n">
        <v>32</v>
      </c>
      <c r="D129" s="85" t="n">
        <v>190</v>
      </c>
      <c r="E129" s="73" t="n">
        <f aca="false">C129*D129</f>
        <v>6080</v>
      </c>
    </row>
    <row r="130" customFormat="false" ht="15" hidden="false" customHeight="true" outlineLevel="0" collapsed="false">
      <c r="A130" s="67" t="s">
        <v>442</v>
      </c>
      <c r="B130" s="67" t="s">
        <v>443</v>
      </c>
      <c r="D130" s="79" t="n">
        <v>0.08</v>
      </c>
      <c r="E130" s="73" t="n">
        <f aca="false">D130*(E95+E99+E100+E101+E102+E103+E104+E105)</f>
        <v>7590.4</v>
      </c>
    </row>
    <row r="131" customFormat="false" ht="15" hidden="false" customHeight="true" outlineLevel="0" collapsed="false">
      <c r="A131" s="67" t="s">
        <v>444</v>
      </c>
      <c r="B131" s="67" t="s">
        <v>445</v>
      </c>
      <c r="D131" s="79" t="n">
        <v>0.015</v>
      </c>
      <c r="E131" s="73" t="n">
        <f aca="false">D131*(E95+E99+E100+E101+E102+E103+E104+E105)</f>
        <v>1423.2</v>
      </c>
    </row>
    <row r="132" customFormat="false" ht="15" hidden="false" customHeight="true" outlineLevel="0" collapsed="false">
      <c r="A132" s="67" t="s">
        <v>446</v>
      </c>
      <c r="B132" s="67" t="s">
        <v>447</v>
      </c>
      <c r="D132" s="79" t="n">
        <v>0.15</v>
      </c>
      <c r="E132" s="73" t="n">
        <f aca="false">D132*(E109+E110)</f>
        <v>3585</v>
      </c>
    </row>
    <row r="133" customFormat="false" ht="15" hidden="false" customHeight="true" outlineLevel="0" collapsed="false">
      <c r="A133" s="67" t="s">
        <v>448</v>
      </c>
      <c r="B133" s="67" t="s">
        <v>449</v>
      </c>
      <c r="D133" s="79" t="n">
        <v>0.18</v>
      </c>
      <c r="E133" s="73" t="n">
        <f aca="false">D133*SUM(E95:E124)</f>
        <v>54974.88</v>
      </c>
    </row>
    <row r="135" customFormat="false" ht="15" hidden="false" customHeight="true" outlineLevel="0" collapsed="false">
      <c r="B135" s="69" t="s">
        <v>450</v>
      </c>
      <c r="F135" s="70" t="n">
        <f aca="false">SUM(E94:E133)</f>
        <v>394919.48</v>
      </c>
    </row>
    <row r="137" customFormat="false" ht="15" hidden="false" customHeight="true" outlineLevel="0" collapsed="false">
      <c r="A137" s="87" t="s">
        <v>125</v>
      </c>
      <c r="B137" s="87"/>
      <c r="C137" s="87"/>
      <c r="D137" s="87"/>
      <c r="E137" s="87"/>
      <c r="F137" s="87"/>
    </row>
    <row r="138" customFormat="false" ht="15" hidden="false" customHeight="true" outlineLevel="0" collapsed="false">
      <c r="C138" s="88" t="s">
        <v>217</v>
      </c>
      <c r="D138" s="88" t="s">
        <v>218</v>
      </c>
      <c r="E138" s="88" t="s">
        <v>219</v>
      </c>
      <c r="F138" s="88" t="s">
        <v>220</v>
      </c>
    </row>
    <row r="139" customFormat="false" ht="15" hidden="false" customHeight="true" outlineLevel="0" collapsed="false">
      <c r="A139" s="67" t="s">
        <v>451</v>
      </c>
      <c r="B139" s="67" t="s">
        <v>452</v>
      </c>
      <c r="C139" s="89" t="n">
        <v>40</v>
      </c>
      <c r="D139" s="85" t="n">
        <v>125</v>
      </c>
      <c r="E139" s="73" t="n">
        <f aca="false">C139*D139</f>
        <v>5000</v>
      </c>
    </row>
    <row r="140" customFormat="false" ht="15" hidden="false" customHeight="true" outlineLevel="0" collapsed="false">
      <c r="A140" s="67" t="s">
        <v>453</v>
      </c>
      <c r="B140" s="67" t="s">
        <v>454</v>
      </c>
      <c r="C140" s="89" t="n">
        <v>2</v>
      </c>
      <c r="D140" s="85" t="n">
        <v>4500</v>
      </c>
      <c r="E140" s="73" t="n">
        <f aca="false">C140*D140</f>
        <v>9000</v>
      </c>
    </row>
    <row r="141" customFormat="false" ht="15" hidden="false" customHeight="true" outlineLevel="0" collapsed="false">
      <c r="A141" s="67" t="s">
        <v>455</v>
      </c>
      <c r="B141" s="67" t="s">
        <v>456</v>
      </c>
      <c r="E141" s="85" t="n">
        <v>3500</v>
      </c>
    </row>
    <row r="142" customFormat="false" ht="15" hidden="false" customHeight="true" outlineLevel="0" collapsed="false">
      <c r="A142" s="67" t="s">
        <v>457</v>
      </c>
      <c r="B142" s="67" t="s">
        <v>458</v>
      </c>
      <c r="E142" s="85" t="n">
        <v>1500</v>
      </c>
    </row>
    <row r="143" customFormat="false" ht="15" hidden="false" customHeight="true" outlineLevel="0" collapsed="false">
      <c r="A143" s="67" t="s">
        <v>459</v>
      </c>
      <c r="B143" s="67" t="s">
        <v>460</v>
      </c>
      <c r="E143" s="85" t="n">
        <v>12000</v>
      </c>
    </row>
    <row r="144" customFormat="false" ht="15" hidden="false" customHeight="true" outlineLevel="0" collapsed="false">
      <c r="A144" s="67" t="s">
        <v>461</v>
      </c>
      <c r="B144" s="67" t="s">
        <v>462</v>
      </c>
      <c r="E144" s="85" t="n">
        <v>4500</v>
      </c>
    </row>
    <row r="145" customFormat="false" ht="15" hidden="false" customHeight="true" outlineLevel="0" collapsed="false">
      <c r="A145" s="67" t="s">
        <v>463</v>
      </c>
      <c r="B145" s="67" t="s">
        <v>464</v>
      </c>
      <c r="E145" s="85" t="n">
        <v>3500</v>
      </c>
    </row>
    <row r="146" customFormat="false" ht="15" hidden="false" customHeight="true" outlineLevel="0" collapsed="false">
      <c r="A146" s="67" t="s">
        <v>465</v>
      </c>
      <c r="B146" s="67" t="s">
        <v>466</v>
      </c>
      <c r="E146" s="85" t="n">
        <v>6000</v>
      </c>
    </row>
    <row r="147" customFormat="false" ht="15" hidden="false" customHeight="true" outlineLevel="0" collapsed="false">
      <c r="A147" s="67" t="s">
        <v>467</v>
      </c>
      <c r="B147" s="67" t="s">
        <v>468</v>
      </c>
      <c r="E147" s="85" t="n">
        <v>3500</v>
      </c>
    </row>
    <row r="148" customFormat="false" ht="15" hidden="false" customHeight="true" outlineLevel="0" collapsed="false">
      <c r="A148" s="67" t="s">
        <v>469</v>
      </c>
      <c r="B148" s="67" t="s">
        <v>470</v>
      </c>
      <c r="E148" s="85" t="n">
        <v>5000</v>
      </c>
    </row>
    <row r="150" customFormat="false" ht="15" hidden="false" customHeight="true" outlineLevel="0" collapsed="false">
      <c r="B150" s="69" t="s">
        <v>471</v>
      </c>
      <c r="F150" s="70" t="n">
        <f aca="false">SUM(E139:E148)</f>
        <v>53500</v>
      </c>
    </row>
    <row r="152" customFormat="false" ht="15" hidden="false" customHeight="true" outlineLevel="0" collapsed="false">
      <c r="A152" s="87" t="s">
        <v>126</v>
      </c>
      <c r="B152" s="87"/>
      <c r="C152" s="87"/>
      <c r="D152" s="87"/>
      <c r="E152" s="87"/>
      <c r="F152" s="87"/>
    </row>
    <row r="153" customFormat="false" ht="15" hidden="false" customHeight="true" outlineLevel="0" collapsed="false">
      <c r="C153" s="88" t="s">
        <v>217</v>
      </c>
      <c r="D153" s="88" t="s">
        <v>218</v>
      </c>
      <c r="E153" s="88" t="s">
        <v>219</v>
      </c>
      <c r="F153" s="88" t="s">
        <v>220</v>
      </c>
    </row>
    <row r="154" customFormat="false" ht="15" hidden="false" customHeight="true" outlineLevel="0" collapsed="false">
      <c r="A154" s="67" t="s">
        <v>472</v>
      </c>
      <c r="B154" s="67" t="s">
        <v>473</v>
      </c>
      <c r="E154" s="85" t="n">
        <v>0</v>
      </c>
    </row>
    <row r="155" customFormat="false" ht="15" hidden="false" customHeight="true" outlineLevel="0" collapsed="false">
      <c r="A155" s="67" t="s">
        <v>474</v>
      </c>
      <c r="B155" s="67" t="s">
        <v>475</v>
      </c>
      <c r="E155" s="85" t="n">
        <v>18000</v>
      </c>
    </row>
    <row r="156" customFormat="false" ht="15" hidden="false" customHeight="true" outlineLevel="0" collapsed="false">
      <c r="A156" s="67" t="s">
        <v>476</v>
      </c>
      <c r="B156" s="67" t="s">
        <v>477</v>
      </c>
      <c r="E156" s="85" t="n">
        <v>4000</v>
      </c>
    </row>
    <row r="157" customFormat="false" ht="15" hidden="false" customHeight="true" outlineLevel="0" collapsed="false">
      <c r="A157" s="67" t="s">
        <v>478</v>
      </c>
      <c r="B157" s="67" t="s">
        <v>479</v>
      </c>
      <c r="E157" s="85" t="n">
        <v>3500</v>
      </c>
    </row>
    <row r="158" customFormat="false" ht="15" hidden="false" customHeight="true" outlineLevel="0" collapsed="false">
      <c r="A158" s="67" t="s">
        <v>480</v>
      </c>
      <c r="B158" s="67" t="s">
        <v>481</v>
      </c>
      <c r="E158" s="85" t="n">
        <v>6500</v>
      </c>
    </row>
    <row r="159" customFormat="false" ht="15" hidden="false" customHeight="true" outlineLevel="0" collapsed="false">
      <c r="A159" s="67" t="s">
        <v>482</v>
      </c>
      <c r="B159" s="67" t="s">
        <v>483</v>
      </c>
      <c r="E159" s="85" t="n">
        <v>2500</v>
      </c>
    </row>
    <row r="160" customFormat="false" ht="15" hidden="false" customHeight="true" outlineLevel="0" collapsed="false">
      <c r="A160" s="67" t="s">
        <v>484</v>
      </c>
      <c r="B160" s="67" t="s">
        <v>485</v>
      </c>
      <c r="E160" s="85" t="n">
        <v>4000</v>
      </c>
    </row>
    <row r="161" customFormat="false" ht="15" hidden="false" customHeight="true" outlineLevel="0" collapsed="false">
      <c r="A161" s="67" t="s">
        <v>486</v>
      </c>
      <c r="B161" s="67" t="s">
        <v>487</v>
      </c>
      <c r="C161" s="89" t="n">
        <v>4</v>
      </c>
      <c r="D161" s="85" t="n">
        <v>600</v>
      </c>
      <c r="E161" s="73" t="n">
        <f aca="false">C161*D161</f>
        <v>2400</v>
      </c>
    </row>
    <row r="162" customFormat="false" ht="15" hidden="false" customHeight="true" outlineLevel="0" collapsed="false">
      <c r="A162" s="67" t="s">
        <v>488</v>
      </c>
      <c r="B162" s="67" t="s">
        <v>489</v>
      </c>
      <c r="E162" s="85" t="n">
        <v>6500</v>
      </c>
    </row>
    <row r="163" customFormat="false" ht="15" hidden="false" customHeight="true" outlineLevel="0" collapsed="false">
      <c r="A163" s="67" t="s">
        <v>490</v>
      </c>
      <c r="B163" s="67" t="s">
        <v>491</v>
      </c>
      <c r="E163" s="85" t="n">
        <v>1500</v>
      </c>
    </row>
    <row r="164" customFormat="false" ht="15" hidden="false" customHeight="true" outlineLevel="0" collapsed="false">
      <c r="A164" s="67" t="s">
        <v>492</v>
      </c>
      <c r="B164" s="67" t="s">
        <v>493</v>
      </c>
      <c r="E164" s="85" t="n">
        <v>2500</v>
      </c>
    </row>
    <row r="166" customFormat="false" ht="15" hidden="false" customHeight="true" outlineLevel="0" collapsed="false">
      <c r="B166" s="69" t="s">
        <v>494</v>
      </c>
      <c r="F166" s="70" t="n">
        <f aca="false">SUM(E154:E164)</f>
        <v>51400</v>
      </c>
    </row>
    <row r="168" customFormat="false" ht="15" hidden="false" customHeight="true" outlineLevel="0" collapsed="false">
      <c r="A168" s="87" t="s">
        <v>495</v>
      </c>
      <c r="B168" s="87"/>
      <c r="C168" s="87"/>
      <c r="D168" s="87"/>
      <c r="E168" s="87"/>
      <c r="F168" s="87"/>
    </row>
    <row r="169" customFormat="false" ht="15" hidden="false" customHeight="true" outlineLevel="0" collapsed="false">
      <c r="C169" s="88" t="s">
        <v>217</v>
      </c>
      <c r="D169" s="88" t="s">
        <v>218</v>
      </c>
      <c r="E169" s="88" t="s">
        <v>219</v>
      </c>
      <c r="F169" s="88" t="s">
        <v>220</v>
      </c>
    </row>
    <row r="170" customFormat="false" ht="15" hidden="false" customHeight="true" outlineLevel="0" collapsed="false">
      <c r="A170" s="67" t="s">
        <v>496</v>
      </c>
      <c r="B170" s="67" t="s">
        <v>497</v>
      </c>
      <c r="E170" s="85" t="n">
        <v>52500</v>
      </c>
    </row>
    <row r="171" customFormat="false" ht="15" hidden="false" customHeight="true" outlineLevel="0" collapsed="false">
      <c r="A171" s="67" t="s">
        <v>498</v>
      </c>
      <c r="B171" s="67" t="s">
        <v>499</v>
      </c>
      <c r="E171" s="85" t="n">
        <v>33000</v>
      </c>
    </row>
    <row r="172" customFormat="false" ht="15" hidden="false" customHeight="true" outlineLevel="0" collapsed="false">
      <c r="A172" s="67" t="s">
        <v>500</v>
      </c>
      <c r="B172" s="67" t="s">
        <v>501</v>
      </c>
      <c r="E172" s="85" t="n">
        <v>67500</v>
      </c>
    </row>
    <row r="173" customFormat="false" ht="15" hidden="false" customHeight="true" outlineLevel="0" collapsed="false">
      <c r="A173" s="67" t="s">
        <v>502</v>
      </c>
      <c r="B173" s="67" t="s">
        <v>503</v>
      </c>
      <c r="E173" s="85" t="n">
        <v>27000</v>
      </c>
    </row>
    <row r="174" customFormat="false" ht="15" hidden="false" customHeight="true" outlineLevel="0" collapsed="false">
      <c r="A174" s="67" t="s">
        <v>504</v>
      </c>
      <c r="B174" s="67" t="s">
        <v>505</v>
      </c>
      <c r="E174" s="85" t="n">
        <v>27000</v>
      </c>
    </row>
    <row r="175" customFormat="false" ht="15" hidden="false" customHeight="true" outlineLevel="0" collapsed="false">
      <c r="A175" s="67" t="s">
        <v>506</v>
      </c>
      <c r="B175" s="67" t="s">
        <v>507</v>
      </c>
      <c r="E175" s="85" t="n">
        <v>18000</v>
      </c>
    </row>
    <row r="176" customFormat="false" ht="15" hidden="false" customHeight="true" outlineLevel="0" collapsed="false">
      <c r="A176" s="67" t="s">
        <v>508</v>
      </c>
      <c r="B176" s="67" t="s">
        <v>509</v>
      </c>
      <c r="E176" s="85" t="n">
        <v>37500</v>
      </c>
    </row>
    <row r="177" customFormat="false" ht="15" hidden="false" customHeight="true" outlineLevel="0" collapsed="false">
      <c r="A177" s="67" t="s">
        <v>510</v>
      </c>
      <c r="B177" s="67" t="s">
        <v>511</v>
      </c>
      <c r="E177" s="85" t="n">
        <v>18000</v>
      </c>
    </row>
    <row r="178" customFormat="false" ht="15" hidden="false" customHeight="true" outlineLevel="0" collapsed="false">
      <c r="A178" s="67" t="s">
        <v>512</v>
      </c>
      <c r="B178" s="67" t="s">
        <v>513</v>
      </c>
      <c r="E178" s="85" t="n">
        <v>30000</v>
      </c>
    </row>
    <row r="179" customFormat="false" ht="15" hidden="false" customHeight="true" outlineLevel="0" collapsed="false">
      <c r="A179" s="67" t="s">
        <v>514</v>
      </c>
      <c r="B179" s="67" t="s">
        <v>515</v>
      </c>
      <c r="E179" s="85" t="n">
        <v>22500</v>
      </c>
    </row>
    <row r="180" customFormat="false" ht="15" hidden="false" customHeight="true" outlineLevel="0" collapsed="false">
      <c r="A180" s="67" t="s">
        <v>516</v>
      </c>
      <c r="B180" s="67" t="s">
        <v>517</v>
      </c>
      <c r="E180" s="85" t="n">
        <v>27000</v>
      </c>
    </row>
    <row r="181" customFormat="false" ht="15" hidden="false" customHeight="true" outlineLevel="0" collapsed="false">
      <c r="A181" s="67" t="s">
        <v>518</v>
      </c>
      <c r="B181" s="67" t="s">
        <v>519</v>
      </c>
      <c r="E181" s="85" t="n">
        <v>30000</v>
      </c>
    </row>
    <row r="182" customFormat="false" ht="15" hidden="false" customHeight="true" outlineLevel="0" collapsed="false">
      <c r="A182" s="67" t="s">
        <v>520</v>
      </c>
      <c r="B182" s="67" t="s">
        <v>521</v>
      </c>
      <c r="E182" s="85" t="n">
        <v>67500</v>
      </c>
    </row>
    <row r="183" customFormat="false" ht="15" hidden="false" customHeight="true" outlineLevel="0" collapsed="false">
      <c r="A183" s="67" t="s">
        <v>522</v>
      </c>
      <c r="B183" s="67" t="s">
        <v>523</v>
      </c>
      <c r="E183" s="85" t="n">
        <v>37500</v>
      </c>
    </row>
    <row r="184" customFormat="false" ht="15" hidden="false" customHeight="true" outlineLevel="0" collapsed="false">
      <c r="A184" s="67" t="s">
        <v>524</v>
      </c>
      <c r="B184" s="67" t="s">
        <v>525</v>
      </c>
      <c r="E184" s="85" t="n">
        <v>12000</v>
      </c>
    </row>
    <row r="185" customFormat="false" ht="15" hidden="false" customHeight="true" outlineLevel="0" collapsed="false">
      <c r="A185" s="67" t="s">
        <v>526</v>
      </c>
      <c r="B185" s="67" t="s">
        <v>527</v>
      </c>
      <c r="E185" s="85" t="n">
        <v>247500</v>
      </c>
    </row>
    <row r="187" customFormat="false" ht="15" hidden="false" customHeight="true" outlineLevel="0" collapsed="false">
      <c r="B187" s="69" t="s">
        <v>528</v>
      </c>
      <c r="F187" s="70" t="n">
        <f aca="false">SUM(E170:E185)</f>
        <v>754500</v>
      </c>
    </row>
    <row r="189" customFormat="false" ht="15" hidden="false" customHeight="true" outlineLevel="0" collapsed="false">
      <c r="A189" s="87" t="s">
        <v>529</v>
      </c>
      <c r="B189" s="87"/>
      <c r="C189" s="87"/>
      <c r="D189" s="87"/>
      <c r="E189" s="87"/>
      <c r="F189" s="87"/>
    </row>
    <row r="190" customFormat="false" ht="15" hidden="false" customHeight="true" outlineLevel="0" collapsed="false">
      <c r="C190" s="88" t="s">
        <v>217</v>
      </c>
      <c r="D190" s="88" t="s">
        <v>218</v>
      </c>
      <c r="E190" s="88" t="s">
        <v>219</v>
      </c>
      <c r="F190" s="88" t="s">
        <v>220</v>
      </c>
    </row>
    <row r="191" customFormat="false" ht="15" hidden="false" customHeight="true" outlineLevel="0" collapsed="false">
      <c r="A191" s="67" t="s">
        <v>530</v>
      </c>
      <c r="B191" s="67" t="s">
        <v>531</v>
      </c>
      <c r="C191" s="89" t="n">
        <v>2</v>
      </c>
      <c r="D191" s="85" t="n">
        <v>20000</v>
      </c>
      <c r="E191" s="73" t="n">
        <f aca="false">C191*D191</f>
        <v>40000</v>
      </c>
    </row>
    <row r="192" customFormat="false" ht="15" hidden="false" customHeight="true" outlineLevel="0" collapsed="false">
      <c r="A192" s="67" t="s">
        <v>532</v>
      </c>
      <c r="B192" s="67" t="s">
        <v>533</v>
      </c>
      <c r="C192" s="89" t="n">
        <v>2</v>
      </c>
      <c r="D192" s="85" t="n">
        <v>6500</v>
      </c>
      <c r="E192" s="73" t="n">
        <f aca="false">C192*D192</f>
        <v>13000</v>
      </c>
    </row>
    <row r="193" customFormat="false" ht="15" hidden="false" customHeight="true" outlineLevel="0" collapsed="false">
      <c r="A193" s="67" t="s">
        <v>534</v>
      </c>
      <c r="B193" s="67" t="s">
        <v>535</v>
      </c>
      <c r="E193" s="85" t="n">
        <v>18000</v>
      </c>
    </row>
    <row r="194" customFormat="false" ht="15" hidden="false" customHeight="true" outlineLevel="0" collapsed="false">
      <c r="A194" s="67" t="s">
        <v>536</v>
      </c>
      <c r="B194" s="67" t="s">
        <v>537</v>
      </c>
      <c r="C194" s="89" t="n">
        <v>160</v>
      </c>
      <c r="D194" s="85" t="n">
        <v>42</v>
      </c>
      <c r="E194" s="73" t="n">
        <f aca="false">C194*D194</f>
        <v>6720</v>
      </c>
    </row>
    <row r="195" customFormat="false" ht="15" hidden="false" customHeight="true" outlineLevel="0" collapsed="false">
      <c r="A195" s="67" t="s">
        <v>538</v>
      </c>
      <c r="B195" s="67" t="s">
        <v>539</v>
      </c>
      <c r="C195" s="89" t="n">
        <v>120</v>
      </c>
      <c r="D195" s="85" t="n">
        <v>42</v>
      </c>
      <c r="E195" s="73" t="n">
        <f aca="false">C195*D195</f>
        <v>5040</v>
      </c>
    </row>
    <row r="196" customFormat="false" ht="15" hidden="false" customHeight="true" outlineLevel="0" collapsed="false">
      <c r="A196" s="67" t="s">
        <v>540</v>
      </c>
      <c r="B196" s="67" t="s">
        <v>541</v>
      </c>
      <c r="C196" s="89" t="n">
        <v>80</v>
      </c>
      <c r="D196" s="85" t="n">
        <v>42</v>
      </c>
      <c r="E196" s="73" t="n">
        <f aca="false">C196*D196</f>
        <v>3360</v>
      </c>
    </row>
    <row r="197" customFormat="false" ht="15" hidden="false" customHeight="true" outlineLevel="0" collapsed="false">
      <c r="A197" s="67" t="s">
        <v>542</v>
      </c>
      <c r="B197" s="67" t="s">
        <v>543</v>
      </c>
      <c r="C197" s="89" t="n">
        <v>480</v>
      </c>
      <c r="D197" s="85" t="n">
        <v>42</v>
      </c>
      <c r="E197" s="73" t="n">
        <f aca="false">C197*D197</f>
        <v>20160</v>
      </c>
    </row>
    <row r="198" customFormat="false" ht="15" hidden="false" customHeight="true" outlineLevel="0" collapsed="false">
      <c r="A198" s="67" t="s">
        <v>544</v>
      </c>
      <c r="B198" s="67" t="s">
        <v>545</v>
      </c>
      <c r="C198" s="89" t="n">
        <v>320</v>
      </c>
      <c r="D198" s="85" t="n">
        <v>48</v>
      </c>
      <c r="E198" s="73" t="n">
        <f aca="false">C198*D198</f>
        <v>15360</v>
      </c>
    </row>
    <row r="199" customFormat="false" ht="15" hidden="false" customHeight="true" outlineLevel="0" collapsed="false">
      <c r="A199" s="67" t="s">
        <v>546</v>
      </c>
      <c r="B199" s="67" t="s">
        <v>547</v>
      </c>
      <c r="C199" s="89" t="n">
        <v>140</v>
      </c>
      <c r="D199" s="85" t="n">
        <v>48</v>
      </c>
      <c r="E199" s="73" t="n">
        <f aca="false">C199*D199</f>
        <v>6720</v>
      </c>
    </row>
    <row r="200" customFormat="false" ht="15" hidden="false" customHeight="true" outlineLevel="0" collapsed="false">
      <c r="A200" s="67" t="s">
        <v>548</v>
      </c>
      <c r="B200" s="67" t="s">
        <v>549</v>
      </c>
      <c r="C200" s="89" t="n">
        <v>120</v>
      </c>
      <c r="D200" s="85" t="n">
        <v>85</v>
      </c>
      <c r="E200" s="73" t="n">
        <f aca="false">C200*D200</f>
        <v>10200</v>
      </c>
    </row>
    <row r="201" customFormat="false" ht="15" hidden="false" customHeight="true" outlineLevel="0" collapsed="false">
      <c r="A201" s="67" t="s">
        <v>550</v>
      </c>
      <c r="B201" s="67" t="s">
        <v>551</v>
      </c>
      <c r="C201" s="89" t="n">
        <v>80</v>
      </c>
      <c r="D201" s="85" t="n">
        <v>42</v>
      </c>
      <c r="E201" s="73" t="n">
        <f aca="false">C201*D201</f>
        <v>3360</v>
      </c>
    </row>
    <row r="202" customFormat="false" ht="15" hidden="false" customHeight="true" outlineLevel="0" collapsed="false">
      <c r="A202" s="67" t="s">
        <v>552</v>
      </c>
      <c r="B202" s="67" t="s">
        <v>553</v>
      </c>
      <c r="C202" s="89" t="n">
        <v>60</v>
      </c>
      <c r="D202" s="85" t="n">
        <v>38</v>
      </c>
      <c r="E202" s="73" t="n">
        <f aca="false">C202*D202</f>
        <v>2280</v>
      </c>
    </row>
    <row r="203" customFormat="false" ht="15" hidden="false" customHeight="true" outlineLevel="0" collapsed="false">
      <c r="A203" s="67" t="s">
        <v>554</v>
      </c>
      <c r="B203" s="67" t="s">
        <v>555</v>
      </c>
      <c r="C203" s="89" t="n">
        <v>100</v>
      </c>
      <c r="D203" s="85" t="n">
        <v>48</v>
      </c>
      <c r="E203" s="73" t="n">
        <f aca="false">C203*D203</f>
        <v>4800</v>
      </c>
    </row>
    <row r="204" customFormat="false" ht="15" hidden="false" customHeight="true" outlineLevel="0" collapsed="false">
      <c r="A204" s="67" t="s">
        <v>556</v>
      </c>
      <c r="B204" s="67" t="s">
        <v>557</v>
      </c>
      <c r="C204" s="89" t="n">
        <v>60</v>
      </c>
      <c r="D204" s="85" t="n">
        <v>48</v>
      </c>
      <c r="E204" s="73" t="n">
        <f aca="false">C204*D204</f>
        <v>2880</v>
      </c>
    </row>
    <row r="205" customFormat="false" ht="15" hidden="false" customHeight="true" outlineLevel="0" collapsed="false">
      <c r="A205" s="67" t="s">
        <v>558</v>
      </c>
      <c r="B205" s="67" t="s">
        <v>559</v>
      </c>
      <c r="C205" s="89" t="n">
        <v>240</v>
      </c>
      <c r="D205" s="85" t="n">
        <v>42</v>
      </c>
      <c r="E205" s="73" t="n">
        <f aca="false">C205*D205</f>
        <v>10080</v>
      </c>
    </row>
    <row r="206" customFormat="false" ht="15" hidden="false" customHeight="true" outlineLevel="0" collapsed="false">
      <c r="A206" s="67" t="s">
        <v>560</v>
      </c>
      <c r="B206" s="67" t="s">
        <v>561</v>
      </c>
      <c r="C206" s="89" t="n">
        <v>120</v>
      </c>
      <c r="D206" s="85" t="n">
        <v>48</v>
      </c>
      <c r="E206" s="73" t="n">
        <f aca="false">C206*D206</f>
        <v>5760</v>
      </c>
    </row>
    <row r="207" customFormat="false" ht="15" hidden="false" customHeight="true" outlineLevel="0" collapsed="false">
      <c r="A207" s="67" t="s">
        <v>562</v>
      </c>
      <c r="B207" s="67" t="s">
        <v>563</v>
      </c>
      <c r="C207" s="89" t="n">
        <v>100</v>
      </c>
      <c r="D207" s="85" t="n">
        <v>48</v>
      </c>
      <c r="E207" s="73" t="n">
        <f aca="false">C207*D207</f>
        <v>4800</v>
      </c>
    </row>
    <row r="208" customFormat="false" ht="15" hidden="false" customHeight="true" outlineLevel="0" collapsed="false">
      <c r="A208" s="67" t="s">
        <v>564</v>
      </c>
      <c r="B208" s="67" t="s">
        <v>565</v>
      </c>
      <c r="D208" s="79" t="n">
        <v>0.18</v>
      </c>
      <c r="E208" s="73" t="n">
        <f aca="false">D208*SUM(E194:E207)</f>
        <v>18273.6</v>
      </c>
    </row>
    <row r="210" customFormat="false" ht="15" hidden="false" customHeight="true" outlineLevel="0" collapsed="false">
      <c r="B210" s="69" t="s">
        <v>566</v>
      </c>
      <c r="F210" s="70" t="n">
        <f aca="false">SUM(E191:E208)</f>
        <v>190793.6</v>
      </c>
    </row>
    <row r="212" customFormat="false" ht="15" hidden="false" customHeight="true" outlineLevel="0" collapsed="false">
      <c r="A212" s="87" t="s">
        <v>129</v>
      </c>
      <c r="B212" s="87"/>
      <c r="C212" s="87"/>
      <c r="D212" s="87"/>
      <c r="E212" s="87"/>
      <c r="F212" s="87"/>
    </row>
    <row r="213" customFormat="false" ht="15" hidden="false" customHeight="true" outlineLevel="0" collapsed="false">
      <c r="C213" s="88" t="s">
        <v>217</v>
      </c>
      <c r="D213" s="88" t="s">
        <v>218</v>
      </c>
      <c r="E213" s="88" t="s">
        <v>219</v>
      </c>
      <c r="F213" s="88" t="s">
        <v>220</v>
      </c>
    </row>
    <row r="214" customFormat="false" ht="15" hidden="false" customHeight="true" outlineLevel="0" collapsed="false">
      <c r="A214" s="67" t="s">
        <v>567</v>
      </c>
      <c r="B214" s="67" t="s">
        <v>568</v>
      </c>
      <c r="C214" s="89" t="n">
        <v>6</v>
      </c>
      <c r="D214" s="85" t="n">
        <v>600</v>
      </c>
      <c r="E214" s="73" t="n">
        <f aca="false">C214*D214</f>
        <v>3600</v>
      </c>
    </row>
    <row r="215" customFormat="false" ht="15" hidden="false" customHeight="true" outlineLevel="0" collapsed="false">
      <c r="A215" s="67" t="s">
        <v>569</v>
      </c>
      <c r="B215" s="67" t="s">
        <v>570</v>
      </c>
      <c r="C215" s="89" t="n">
        <v>6</v>
      </c>
      <c r="D215" s="85" t="n">
        <v>600</v>
      </c>
      <c r="E215" s="73" t="n">
        <f aca="false">C215*D215</f>
        <v>3600</v>
      </c>
    </row>
    <row r="216" customFormat="false" ht="15" hidden="false" customHeight="true" outlineLevel="0" collapsed="false">
      <c r="A216" s="67" t="s">
        <v>571</v>
      </c>
      <c r="B216" s="67" t="s">
        <v>572</v>
      </c>
      <c r="E216" s="85" t="n">
        <v>18000</v>
      </c>
    </row>
    <row r="217" customFormat="false" ht="15" hidden="false" customHeight="true" outlineLevel="0" collapsed="false">
      <c r="A217" s="67" t="s">
        <v>573</v>
      </c>
      <c r="B217" s="67" t="s">
        <v>574</v>
      </c>
      <c r="E217" s="85" t="n">
        <v>45000</v>
      </c>
    </row>
    <row r="218" customFormat="false" ht="15" hidden="false" customHeight="true" outlineLevel="0" collapsed="false">
      <c r="A218" s="67" t="s">
        <v>575</v>
      </c>
      <c r="B218" s="67" t="s">
        <v>576</v>
      </c>
      <c r="E218" s="85" t="n">
        <v>65000</v>
      </c>
    </row>
    <row r="219" customFormat="false" ht="15" hidden="false" customHeight="true" outlineLevel="0" collapsed="false">
      <c r="A219" s="67" t="s">
        <v>577</v>
      </c>
      <c r="B219" s="67" t="s">
        <v>578</v>
      </c>
      <c r="E219" s="85" t="n">
        <v>4000</v>
      </c>
    </row>
    <row r="220" customFormat="false" ht="15" hidden="false" customHeight="true" outlineLevel="0" collapsed="false">
      <c r="A220" s="67" t="s">
        <v>579</v>
      </c>
      <c r="B220" s="67" t="s">
        <v>580</v>
      </c>
      <c r="E220" s="85" t="n">
        <v>4500</v>
      </c>
    </row>
    <row r="221" customFormat="false" ht="15" hidden="false" customHeight="true" outlineLevel="0" collapsed="false">
      <c r="A221" s="67" t="s">
        <v>581</v>
      </c>
      <c r="B221" s="67" t="s">
        <v>582</v>
      </c>
      <c r="E221" s="85" t="n">
        <v>18000</v>
      </c>
    </row>
    <row r="222" customFormat="false" ht="15" hidden="false" customHeight="true" outlineLevel="0" collapsed="false">
      <c r="A222" s="67" t="s">
        <v>583</v>
      </c>
      <c r="B222" s="67" t="s">
        <v>584</v>
      </c>
      <c r="E222" s="85" t="n">
        <v>8000</v>
      </c>
    </row>
    <row r="223" customFormat="false" ht="15" hidden="false" customHeight="true" outlineLevel="0" collapsed="false">
      <c r="A223" s="67" t="s">
        <v>585</v>
      </c>
      <c r="B223" s="67" t="s">
        <v>586</v>
      </c>
      <c r="E223" s="85" t="n">
        <v>5000</v>
      </c>
    </row>
    <row r="225" customFormat="false" ht="15" hidden="false" customHeight="true" outlineLevel="0" collapsed="false">
      <c r="B225" s="69" t="s">
        <v>587</v>
      </c>
      <c r="F225" s="70" t="n">
        <f aca="false">SUM(E214:E223)</f>
        <v>174700</v>
      </c>
    </row>
    <row r="227" customFormat="false" ht="15" hidden="false" customHeight="true" outlineLevel="0" collapsed="false">
      <c r="A227" s="87" t="s">
        <v>130</v>
      </c>
      <c r="B227" s="87"/>
      <c r="C227" s="87"/>
      <c r="D227" s="87"/>
      <c r="E227" s="87"/>
      <c r="F227" s="87"/>
    </row>
    <row r="228" customFormat="false" ht="15" hidden="false" customHeight="true" outlineLevel="0" collapsed="false">
      <c r="C228" s="88" t="s">
        <v>217</v>
      </c>
      <c r="D228" s="88" t="s">
        <v>218</v>
      </c>
      <c r="E228" s="88" t="s">
        <v>219</v>
      </c>
      <c r="F228" s="88" t="s">
        <v>220</v>
      </c>
    </row>
    <row r="229" customFormat="false" ht="15" hidden="false" customHeight="true" outlineLevel="0" collapsed="false">
      <c r="A229" s="67" t="s">
        <v>588</v>
      </c>
      <c r="B229" s="67" t="s">
        <v>589</v>
      </c>
      <c r="E229" s="85" t="n">
        <v>35000</v>
      </c>
    </row>
    <row r="230" customFormat="false" ht="15" hidden="false" customHeight="true" outlineLevel="0" collapsed="false">
      <c r="A230" s="67" t="s">
        <v>590</v>
      </c>
      <c r="B230" s="67" t="s">
        <v>591</v>
      </c>
      <c r="E230" s="85" t="n">
        <v>25000</v>
      </c>
    </row>
    <row r="231" customFormat="false" ht="15" hidden="false" customHeight="true" outlineLevel="0" collapsed="false">
      <c r="A231" s="67" t="s">
        <v>592</v>
      </c>
      <c r="B231" s="67" t="s">
        <v>593</v>
      </c>
      <c r="E231" s="85" t="n">
        <v>15000</v>
      </c>
    </row>
    <row r="233" customFormat="false" ht="15" hidden="false" customHeight="true" outlineLevel="0" collapsed="false">
      <c r="B233" s="69" t="s">
        <v>594</v>
      </c>
      <c r="F233" s="70" t="n">
        <f aca="false">SUM(E229:E231)</f>
        <v>75000</v>
      </c>
    </row>
    <row r="235" customFormat="false" ht="15" hidden="false" customHeight="true" outlineLevel="0" collapsed="false">
      <c r="B235" s="71" t="s">
        <v>131</v>
      </c>
      <c r="F235" s="72" t="n">
        <f aca="false">F40+F90+F135+F150+F166+F187+F210+F225+F233</f>
        <v>5017942.08</v>
      </c>
    </row>
    <row r="237" customFormat="false" ht="15" hidden="false" customHeight="true" outlineLevel="0" collapsed="false">
      <c r="A237" s="87" t="s">
        <v>132</v>
      </c>
      <c r="B237" s="87"/>
      <c r="C237" s="87"/>
      <c r="D237" s="87"/>
      <c r="E237" s="87"/>
      <c r="F237" s="87"/>
    </row>
    <row r="238" customFormat="false" ht="15" hidden="false" customHeight="true" outlineLevel="0" collapsed="false">
      <c r="C238" s="88" t="s">
        <v>217</v>
      </c>
      <c r="D238" s="88" t="s">
        <v>218</v>
      </c>
      <c r="E238" s="88" t="s">
        <v>219</v>
      </c>
      <c r="F238" s="88" t="s">
        <v>220</v>
      </c>
    </row>
    <row r="239" customFormat="false" ht="15" hidden="false" customHeight="true" outlineLevel="0" collapsed="false">
      <c r="A239" s="67" t="s">
        <v>595</v>
      </c>
      <c r="B239" s="67" t="s">
        <v>596</v>
      </c>
      <c r="E239" s="85" t="n">
        <v>55000</v>
      </c>
    </row>
    <row r="240" customFormat="false" ht="15" hidden="false" customHeight="true" outlineLevel="0" collapsed="false">
      <c r="A240" s="67" t="s">
        <v>597</v>
      </c>
      <c r="B240" s="67" t="s">
        <v>598</v>
      </c>
      <c r="E240" s="85" t="n">
        <v>12000</v>
      </c>
    </row>
    <row r="241" customFormat="false" ht="15" hidden="false" customHeight="true" outlineLevel="0" collapsed="false">
      <c r="A241" s="67" t="s">
        <v>599</v>
      </c>
      <c r="B241" s="67" t="s">
        <v>600</v>
      </c>
      <c r="E241" s="85" t="n">
        <v>18000</v>
      </c>
    </row>
    <row r="242" customFormat="false" ht="15" hidden="false" customHeight="true" outlineLevel="0" collapsed="false">
      <c r="A242" s="67" t="s">
        <v>601</v>
      </c>
      <c r="B242" s="67" t="s">
        <v>602</v>
      </c>
      <c r="E242" s="85" t="n">
        <v>8000</v>
      </c>
    </row>
    <row r="243" customFormat="false" ht="15" hidden="false" customHeight="true" outlineLevel="0" collapsed="false">
      <c r="A243" s="67" t="s">
        <v>603</v>
      </c>
      <c r="B243" s="67" t="s">
        <v>604</v>
      </c>
      <c r="C243" s="89" t="n">
        <v>2</v>
      </c>
      <c r="D243" s="85" t="n">
        <v>20000</v>
      </c>
      <c r="E243" s="73" t="n">
        <f aca="false">C243*D243</f>
        <v>40000</v>
      </c>
    </row>
    <row r="244" customFormat="false" ht="15" hidden="false" customHeight="true" outlineLevel="0" collapsed="false">
      <c r="A244" s="67" t="s">
        <v>605</v>
      </c>
      <c r="B244" s="67" t="s">
        <v>606</v>
      </c>
      <c r="E244" s="85" t="n">
        <v>8000</v>
      </c>
    </row>
    <row r="245" customFormat="false" ht="15" hidden="false" customHeight="true" outlineLevel="0" collapsed="false">
      <c r="A245" s="67" t="s">
        <v>607</v>
      </c>
      <c r="B245" s="67" t="s">
        <v>608</v>
      </c>
      <c r="E245" s="85" t="n">
        <v>6000</v>
      </c>
    </row>
    <row r="246" customFormat="false" ht="15" hidden="false" customHeight="true" outlineLevel="0" collapsed="false">
      <c r="A246" s="67" t="s">
        <v>609</v>
      </c>
      <c r="B246" s="67" t="s">
        <v>610</v>
      </c>
      <c r="E246" s="85" t="n">
        <v>50000</v>
      </c>
    </row>
    <row r="247" customFormat="false" ht="15" hidden="false" customHeight="true" outlineLevel="0" collapsed="false">
      <c r="A247" s="67" t="s">
        <v>611</v>
      </c>
      <c r="B247" s="67" t="s">
        <v>612</v>
      </c>
      <c r="E247" s="85" t="n">
        <v>10000</v>
      </c>
    </row>
    <row r="248" customFormat="false" ht="15" hidden="false" customHeight="true" outlineLevel="0" collapsed="false">
      <c r="A248" s="67" t="s">
        <v>613</v>
      </c>
      <c r="B248" s="67" t="s">
        <v>614</v>
      </c>
      <c r="E248" s="85" t="n">
        <v>7500</v>
      </c>
    </row>
    <row r="249" customFormat="false" ht="15" hidden="false" customHeight="true" outlineLevel="0" collapsed="false">
      <c r="A249" s="67" t="s">
        <v>615</v>
      </c>
      <c r="B249" s="67" t="s">
        <v>616</v>
      </c>
      <c r="E249" s="85" t="n">
        <v>4000</v>
      </c>
    </row>
    <row r="250" customFormat="false" ht="15" hidden="false" customHeight="true" outlineLevel="0" collapsed="false">
      <c r="A250" s="67" t="s">
        <v>617</v>
      </c>
      <c r="B250" s="67" t="s">
        <v>618</v>
      </c>
      <c r="E250" s="85" t="n">
        <v>15000</v>
      </c>
    </row>
    <row r="252" customFormat="false" ht="15" hidden="false" customHeight="true" outlineLevel="0" collapsed="false">
      <c r="B252" s="69" t="s">
        <v>619</v>
      </c>
      <c r="F252" s="70" t="n">
        <f aca="false">SUM(E239:E250)</f>
        <v>233500</v>
      </c>
    </row>
    <row r="254" customFormat="false" ht="15" hidden="false" customHeight="true" outlineLevel="0" collapsed="false">
      <c r="B254" s="69" t="s">
        <v>620</v>
      </c>
      <c r="F254" s="70" t="n">
        <f aca="false">F235+F252</f>
        <v>5251442.08</v>
      </c>
    </row>
    <row r="256" customFormat="false" ht="15" hidden="false" customHeight="true" outlineLevel="0" collapsed="false">
      <c r="A256" s="87" t="s">
        <v>133</v>
      </c>
      <c r="B256" s="87"/>
      <c r="C256" s="87"/>
      <c r="D256" s="87"/>
      <c r="E256" s="87"/>
      <c r="F256" s="87"/>
    </row>
    <row r="257" customFormat="false" ht="15" hidden="false" customHeight="true" outlineLevel="0" collapsed="false">
      <c r="C257" s="88" t="s">
        <v>217</v>
      </c>
      <c r="D257" s="88" t="s">
        <v>218</v>
      </c>
      <c r="E257" s="88" t="s">
        <v>219</v>
      </c>
      <c r="F257" s="88" t="s">
        <v>220</v>
      </c>
    </row>
    <row r="258" customFormat="false" ht="15" hidden="false" customHeight="true" outlineLevel="0" collapsed="false">
      <c r="A258" s="67" t="s">
        <v>621</v>
      </c>
      <c r="B258" s="67" t="s">
        <v>622</v>
      </c>
      <c r="C258" s="89" t="n">
        <v>2</v>
      </c>
      <c r="D258" s="68" t="n">
        <f aca="false">'Weekly Operating'!F123</f>
        <v>106265.5</v>
      </c>
      <c r="E258" s="73" t="n">
        <f aca="false">C258*D258</f>
        <v>212531</v>
      </c>
    </row>
    <row r="259" customFormat="false" ht="15" hidden="false" customHeight="true" outlineLevel="0" collapsed="false">
      <c r="A259" s="67" t="s">
        <v>623</v>
      </c>
      <c r="B259" s="67" t="s">
        <v>624</v>
      </c>
      <c r="D259" s="79" t="n">
        <v>0.1</v>
      </c>
      <c r="E259" s="73" t="n">
        <f aca="false">D259*F235</f>
        <v>501794.208</v>
      </c>
    </row>
    <row r="261" customFormat="false" ht="15" hidden="false" customHeight="true" outlineLevel="0" collapsed="false">
      <c r="B261" s="69" t="s">
        <v>625</v>
      </c>
      <c r="F261" s="70" t="n">
        <f aca="false">SUM(E258:E259)</f>
        <v>714325.208</v>
      </c>
    </row>
    <row r="263" customFormat="false" ht="15" hidden="false" customHeight="true" outlineLevel="0" collapsed="false">
      <c r="B263" s="71" t="s">
        <v>134</v>
      </c>
      <c r="F263" s="72" t="n">
        <f aca="false">F254+F261</f>
        <v>5965767.288</v>
      </c>
    </row>
  </sheetData>
  <mergeCells count="13">
    <mergeCell ref="A6:F6"/>
    <mergeCell ref="A7:F7"/>
    <mergeCell ref="A9:F9"/>
    <mergeCell ref="A42:F42"/>
    <mergeCell ref="A92:F92"/>
    <mergeCell ref="A137:F137"/>
    <mergeCell ref="A152:F152"/>
    <mergeCell ref="A168:F168"/>
    <mergeCell ref="A189:F189"/>
    <mergeCell ref="A212:F212"/>
    <mergeCell ref="A227:F227"/>
    <mergeCell ref="A237:F237"/>
    <mergeCell ref="A256:F2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52"/>
    <col collapsed="false" customWidth="true" hidden="false" outlineLevel="0" max="3" min="3" style="1" width="10"/>
    <col collapsed="false" customWidth="true" hidden="false" outlineLevel="0" max="6" min="4" style="1" width="14"/>
  </cols>
  <sheetData>
    <row r="1" customFormat="false" ht="15" hidden="false" customHeight="true" outlineLevel="0" collapsed="false">
      <c r="A1" s="59" t="s">
        <v>114</v>
      </c>
      <c r="F1" s="60" t="s">
        <v>115</v>
      </c>
    </row>
    <row r="2" customFormat="false" ht="15" hidden="false" customHeight="true" outlineLevel="0" collapsed="false">
      <c r="A2" s="61" t="s">
        <v>116</v>
      </c>
    </row>
    <row r="3" customFormat="false" ht="15" hidden="false" customHeight="true" outlineLevel="0" collapsed="false">
      <c r="A3" s="61" t="s">
        <v>117</v>
      </c>
    </row>
    <row r="4" customFormat="false" ht="15" hidden="false" customHeight="true" outlineLevel="0" collapsed="false">
      <c r="A4" s="62" t="s">
        <v>118</v>
      </c>
      <c r="F4" s="63" t="s">
        <v>119</v>
      </c>
    </row>
    <row r="6" customFormat="false" ht="15" hidden="false" customHeight="true" outlineLevel="0" collapsed="false">
      <c r="A6" s="64" t="s">
        <v>626</v>
      </c>
      <c r="B6" s="64"/>
      <c r="C6" s="64"/>
      <c r="D6" s="64"/>
      <c r="E6" s="64"/>
      <c r="F6" s="64"/>
    </row>
    <row r="7" customFormat="false" ht="15" hidden="false" customHeight="true" outlineLevel="0" collapsed="false">
      <c r="A7" s="86" t="s">
        <v>627</v>
      </c>
      <c r="B7" s="86"/>
      <c r="C7" s="86"/>
      <c r="D7" s="86"/>
      <c r="E7" s="86"/>
      <c r="F7" s="86"/>
    </row>
    <row r="9" customFormat="false" ht="15" hidden="false" customHeight="true" outlineLevel="0" collapsed="false">
      <c r="A9" s="87" t="s">
        <v>136</v>
      </c>
      <c r="B9" s="87"/>
      <c r="C9" s="87"/>
      <c r="D9" s="87"/>
      <c r="E9" s="87"/>
      <c r="F9" s="87"/>
    </row>
    <row r="10" customFormat="false" ht="15" hidden="false" customHeight="true" outlineLevel="0" collapsed="false">
      <c r="C10" s="88" t="s">
        <v>217</v>
      </c>
      <c r="D10" s="88" t="s">
        <v>218</v>
      </c>
      <c r="E10" s="88" t="s">
        <v>219</v>
      </c>
      <c r="F10" s="88" t="s">
        <v>220</v>
      </c>
    </row>
    <row r="11" customFormat="false" ht="15" hidden="false" customHeight="true" outlineLevel="0" collapsed="false">
      <c r="A11" s="67" t="s">
        <v>628</v>
      </c>
      <c r="B11" s="67" t="s">
        <v>629</v>
      </c>
      <c r="E11" s="85" t="n">
        <v>800</v>
      </c>
    </row>
    <row r="12" customFormat="false" ht="15" hidden="false" customHeight="true" outlineLevel="0" collapsed="false">
      <c r="A12" s="67" t="s">
        <v>630</v>
      </c>
      <c r="B12" s="67" t="s">
        <v>631</v>
      </c>
      <c r="E12" s="85" t="n">
        <v>500</v>
      </c>
    </row>
    <row r="13" customFormat="false" ht="15" hidden="false" customHeight="true" outlineLevel="0" collapsed="false">
      <c r="A13" s="67" t="s">
        <v>632</v>
      </c>
      <c r="B13" s="67" t="s">
        <v>633</v>
      </c>
      <c r="E13" s="85" t="n">
        <v>600</v>
      </c>
    </row>
    <row r="14" customFormat="false" ht="15" hidden="false" customHeight="true" outlineLevel="0" collapsed="false">
      <c r="A14" s="67" t="s">
        <v>634</v>
      </c>
      <c r="B14" s="67" t="s">
        <v>635</v>
      </c>
      <c r="E14" s="85" t="n">
        <v>800</v>
      </c>
    </row>
    <row r="15" customFormat="false" ht="15" hidden="false" customHeight="true" outlineLevel="0" collapsed="false">
      <c r="A15" s="67" t="s">
        <v>636</v>
      </c>
      <c r="B15" s="67" t="s">
        <v>637</v>
      </c>
      <c r="E15" s="85" t="n">
        <v>1500</v>
      </c>
    </row>
    <row r="16" customFormat="false" ht="15" hidden="false" customHeight="true" outlineLevel="0" collapsed="false">
      <c r="A16" s="67" t="s">
        <v>638</v>
      </c>
      <c r="B16" s="67" t="s">
        <v>639</v>
      </c>
      <c r="E16" s="85" t="n">
        <v>400</v>
      </c>
    </row>
    <row r="17" customFormat="false" ht="15" hidden="false" customHeight="true" outlineLevel="0" collapsed="false">
      <c r="A17" s="67" t="s">
        <v>640</v>
      </c>
      <c r="B17" s="67" t="s">
        <v>641</v>
      </c>
      <c r="E17" s="85" t="n">
        <v>600</v>
      </c>
    </row>
    <row r="18" customFormat="false" ht="15" hidden="false" customHeight="true" outlineLevel="0" collapsed="false">
      <c r="A18" s="67" t="s">
        <v>642</v>
      </c>
      <c r="B18" s="67" t="s">
        <v>643</v>
      </c>
      <c r="E18" s="85" t="n">
        <v>2500</v>
      </c>
    </row>
    <row r="19" customFormat="false" ht="15" hidden="false" customHeight="true" outlineLevel="0" collapsed="false">
      <c r="A19" s="67" t="s">
        <v>644</v>
      </c>
      <c r="B19" s="67" t="s">
        <v>645</v>
      </c>
      <c r="E19" s="85" t="n">
        <v>300</v>
      </c>
    </row>
    <row r="20" customFormat="false" ht="15" hidden="false" customHeight="true" outlineLevel="0" collapsed="false">
      <c r="A20" s="67" t="s">
        <v>646</v>
      </c>
      <c r="B20" s="67" t="s">
        <v>647</v>
      </c>
      <c r="E20" s="85" t="n">
        <v>500</v>
      </c>
    </row>
    <row r="21" customFormat="false" ht="15" hidden="false" customHeight="true" outlineLevel="0" collapsed="false">
      <c r="A21" s="67" t="s">
        <v>648</v>
      </c>
      <c r="B21" s="67" t="s">
        <v>649</v>
      </c>
      <c r="E21" s="85" t="n">
        <v>800</v>
      </c>
    </row>
    <row r="23" customFormat="false" ht="15" hidden="false" customHeight="true" outlineLevel="0" collapsed="false">
      <c r="B23" s="69" t="s">
        <v>650</v>
      </c>
      <c r="F23" s="70" t="n">
        <f aca="false">SUM(E11:E21)</f>
        <v>9300</v>
      </c>
    </row>
    <row r="25" customFormat="false" ht="15" hidden="false" customHeight="true" outlineLevel="0" collapsed="false">
      <c r="A25" s="87" t="s">
        <v>137</v>
      </c>
      <c r="B25" s="87"/>
      <c r="C25" s="87"/>
      <c r="D25" s="87"/>
      <c r="E25" s="87"/>
      <c r="F25" s="87"/>
    </row>
    <row r="26" customFormat="false" ht="15" hidden="false" customHeight="true" outlineLevel="0" collapsed="false">
      <c r="C26" s="88" t="s">
        <v>217</v>
      </c>
      <c r="D26" s="88" t="s">
        <v>218</v>
      </c>
      <c r="E26" s="88" t="s">
        <v>219</v>
      </c>
      <c r="F26" s="88" t="s">
        <v>220</v>
      </c>
    </row>
    <row r="27" customFormat="false" ht="15" hidden="false" customHeight="true" outlineLevel="0" collapsed="false">
      <c r="A27" s="67" t="s">
        <v>651</v>
      </c>
      <c r="B27" s="67" t="s">
        <v>652</v>
      </c>
      <c r="E27" s="85" t="n">
        <v>1250</v>
      </c>
    </row>
    <row r="28" customFormat="false" ht="15" hidden="false" customHeight="true" outlineLevel="0" collapsed="false">
      <c r="A28" s="67" t="s">
        <v>653</v>
      </c>
      <c r="B28" s="67" t="s">
        <v>654</v>
      </c>
      <c r="E28" s="85" t="n">
        <v>0</v>
      </c>
    </row>
    <row r="29" customFormat="false" ht="15" hidden="false" customHeight="true" outlineLevel="0" collapsed="false">
      <c r="A29" s="67" t="s">
        <v>655</v>
      </c>
      <c r="B29" s="67" t="s">
        <v>656</v>
      </c>
      <c r="E29" s="85" t="n">
        <v>0</v>
      </c>
    </row>
    <row r="30" customFormat="false" ht="15" hidden="false" customHeight="true" outlineLevel="0" collapsed="false">
      <c r="A30" s="67" t="s">
        <v>657</v>
      </c>
      <c r="B30" s="67" t="s">
        <v>658</v>
      </c>
      <c r="E30" s="85" t="n">
        <v>1500</v>
      </c>
    </row>
    <row r="31" customFormat="false" ht="15" hidden="false" customHeight="true" outlineLevel="0" collapsed="false">
      <c r="A31" s="67" t="s">
        <v>659</v>
      </c>
      <c r="B31" s="67" t="s">
        <v>660</v>
      </c>
      <c r="E31" s="85" t="n">
        <v>1500</v>
      </c>
    </row>
    <row r="32" customFormat="false" ht="15" hidden="false" customHeight="true" outlineLevel="0" collapsed="false">
      <c r="A32" s="67" t="s">
        <v>661</v>
      </c>
      <c r="B32" s="67" t="s">
        <v>662</v>
      </c>
      <c r="E32" s="85" t="n">
        <v>1500</v>
      </c>
    </row>
    <row r="33" customFormat="false" ht="15" hidden="false" customHeight="true" outlineLevel="0" collapsed="false">
      <c r="A33" s="67" t="s">
        <v>663</v>
      </c>
      <c r="B33" s="67" t="s">
        <v>664</v>
      </c>
      <c r="E33" s="85" t="n">
        <v>0</v>
      </c>
    </row>
    <row r="34" customFormat="false" ht="15" hidden="false" customHeight="true" outlineLevel="0" collapsed="false">
      <c r="A34" s="67" t="s">
        <v>665</v>
      </c>
      <c r="B34" s="67" t="s">
        <v>666</v>
      </c>
      <c r="E34" s="85" t="n">
        <v>1000</v>
      </c>
    </row>
    <row r="35" customFormat="false" ht="15" hidden="false" customHeight="true" outlineLevel="0" collapsed="false">
      <c r="A35" s="67" t="s">
        <v>667</v>
      </c>
      <c r="B35" s="67" t="s">
        <v>668</v>
      </c>
      <c r="E35" s="85" t="n">
        <v>400</v>
      </c>
    </row>
    <row r="36" customFormat="false" ht="15" hidden="false" customHeight="true" outlineLevel="0" collapsed="false">
      <c r="A36" s="67" t="s">
        <v>669</v>
      </c>
      <c r="B36" s="67" t="s">
        <v>670</v>
      </c>
      <c r="E36" s="85" t="n">
        <v>250</v>
      </c>
    </row>
    <row r="37" customFormat="false" ht="15" hidden="false" customHeight="true" outlineLevel="0" collapsed="false">
      <c r="A37" s="67" t="s">
        <v>671</v>
      </c>
      <c r="B37" s="67" t="s">
        <v>672</v>
      </c>
      <c r="E37" s="85" t="n">
        <v>500</v>
      </c>
    </row>
    <row r="39" customFormat="false" ht="15" hidden="false" customHeight="true" outlineLevel="0" collapsed="false">
      <c r="B39" s="69" t="s">
        <v>673</v>
      </c>
      <c r="F39" s="70" t="n">
        <f aca="false">SUM(E27:E37)</f>
        <v>7900</v>
      </c>
    </row>
    <row r="41" customFormat="false" ht="15" hidden="false" customHeight="true" outlineLevel="0" collapsed="false">
      <c r="A41" s="87" t="s">
        <v>674</v>
      </c>
      <c r="B41" s="87"/>
      <c r="C41" s="87"/>
      <c r="D41" s="87"/>
      <c r="E41" s="87"/>
      <c r="F41" s="87"/>
    </row>
    <row r="42" customFormat="false" ht="15" hidden="false" customHeight="true" outlineLevel="0" collapsed="false">
      <c r="C42" s="88" t="s">
        <v>217</v>
      </c>
      <c r="D42" s="88" t="s">
        <v>218</v>
      </c>
      <c r="E42" s="88" t="s">
        <v>219</v>
      </c>
      <c r="F42" s="88" t="s">
        <v>220</v>
      </c>
    </row>
    <row r="43" customFormat="false" ht="15" hidden="false" customHeight="true" outlineLevel="0" collapsed="false">
      <c r="A43" s="67" t="s">
        <v>675</v>
      </c>
      <c r="B43" s="67" t="s">
        <v>676</v>
      </c>
      <c r="C43" s="89" t="n">
        <v>1</v>
      </c>
      <c r="D43" s="85" t="n">
        <v>1250</v>
      </c>
      <c r="E43" s="73" t="n">
        <f aca="false">C43*D43</f>
        <v>1250</v>
      </c>
    </row>
    <row r="44" customFormat="false" ht="15" hidden="false" customHeight="true" outlineLevel="0" collapsed="false">
      <c r="A44" s="67" t="s">
        <v>677</v>
      </c>
      <c r="B44" s="67" t="s">
        <v>678</v>
      </c>
      <c r="C44" s="89" t="n">
        <v>1</v>
      </c>
      <c r="D44" s="85" t="n">
        <v>1250</v>
      </c>
      <c r="E44" s="73" t="n">
        <f aca="false">C44*D44</f>
        <v>1250</v>
      </c>
    </row>
    <row r="45" customFormat="false" ht="15" hidden="false" customHeight="true" outlineLevel="0" collapsed="false">
      <c r="A45" s="67" t="s">
        <v>679</v>
      </c>
      <c r="B45" s="67" t="s">
        <v>680</v>
      </c>
      <c r="C45" s="89" t="n">
        <v>0</v>
      </c>
      <c r="D45" s="85" t="n">
        <v>1600</v>
      </c>
      <c r="E45" s="73" t="n">
        <f aca="false">C45*D45</f>
        <v>0</v>
      </c>
    </row>
    <row r="46" customFormat="false" ht="15" hidden="false" customHeight="true" outlineLevel="0" collapsed="false">
      <c r="A46" s="67" t="s">
        <v>681</v>
      </c>
      <c r="B46" s="67" t="s">
        <v>682</v>
      </c>
      <c r="C46" s="89" t="n">
        <v>6</v>
      </c>
      <c r="D46" s="85" t="n">
        <v>1400</v>
      </c>
      <c r="E46" s="73" t="n">
        <f aca="false">C46*D46</f>
        <v>8400</v>
      </c>
    </row>
    <row r="47" customFormat="false" ht="15" hidden="false" customHeight="true" outlineLevel="0" collapsed="false">
      <c r="A47" s="67" t="s">
        <v>683</v>
      </c>
      <c r="B47" s="67" t="s">
        <v>684</v>
      </c>
      <c r="C47" s="89" t="n">
        <v>5</v>
      </c>
      <c r="D47" s="85" t="n">
        <v>1300</v>
      </c>
      <c r="E47" s="73" t="n">
        <f aca="false">C47*D47</f>
        <v>6500</v>
      </c>
    </row>
    <row r="48" customFormat="false" ht="15" hidden="false" customHeight="true" outlineLevel="0" collapsed="false">
      <c r="A48" s="90" t="s">
        <v>685</v>
      </c>
      <c r="B48" s="90" t="s">
        <v>686</v>
      </c>
      <c r="C48" s="91" t="n">
        <v>2</v>
      </c>
      <c r="D48" s="92" t="n">
        <v>1400</v>
      </c>
      <c r="E48" s="93" t="n">
        <f aca="false">C48*D48</f>
        <v>2800</v>
      </c>
    </row>
    <row r="49" customFormat="false" ht="15" hidden="false" customHeight="true" outlineLevel="0" collapsed="false">
      <c r="A49" s="90" t="s">
        <v>687</v>
      </c>
      <c r="B49" s="90" t="s">
        <v>688</v>
      </c>
      <c r="C49" s="91" t="n">
        <v>1</v>
      </c>
      <c r="D49" s="92" t="n">
        <v>1400</v>
      </c>
      <c r="E49" s="93" t="n">
        <f aca="false">C49*D49</f>
        <v>1400</v>
      </c>
    </row>
    <row r="50" customFormat="false" ht="15" hidden="false" customHeight="true" outlineLevel="0" collapsed="false">
      <c r="A50" s="90" t="s">
        <v>689</v>
      </c>
      <c r="B50" s="90" t="s">
        <v>690</v>
      </c>
      <c r="C50" s="91" t="n">
        <v>12</v>
      </c>
      <c r="D50" s="92" t="n">
        <v>60</v>
      </c>
      <c r="E50" s="93" t="n">
        <f aca="false">C50*D50</f>
        <v>720</v>
      </c>
    </row>
    <row r="51" customFormat="false" ht="15" hidden="false" customHeight="true" outlineLevel="0" collapsed="false">
      <c r="A51" s="67" t="s">
        <v>691</v>
      </c>
      <c r="B51" s="67" t="s">
        <v>692</v>
      </c>
      <c r="C51" s="89" t="n">
        <v>1</v>
      </c>
      <c r="D51" s="85" t="n">
        <v>234</v>
      </c>
      <c r="E51" s="73" t="n">
        <f aca="false">C48*D48</f>
        <v>2800</v>
      </c>
    </row>
    <row r="52" customFormat="false" ht="15" hidden="false" customHeight="true" outlineLevel="0" collapsed="false">
      <c r="A52" s="67" t="s">
        <v>693</v>
      </c>
      <c r="B52" s="67" t="s">
        <v>694</v>
      </c>
      <c r="C52" s="89" t="n">
        <v>5</v>
      </c>
      <c r="D52" s="85" t="n">
        <v>1100</v>
      </c>
      <c r="E52" s="73" t="n">
        <f aca="false">C49*D49</f>
        <v>1400</v>
      </c>
    </row>
    <row r="53" customFormat="false" ht="15" hidden="false" customHeight="true" outlineLevel="0" collapsed="false">
      <c r="A53" s="67" t="s">
        <v>695</v>
      </c>
      <c r="B53" s="67" t="s">
        <v>696</v>
      </c>
      <c r="C53" s="89" t="n">
        <v>1</v>
      </c>
      <c r="D53" s="85" t="n">
        <v>200</v>
      </c>
      <c r="E53" s="73" t="n">
        <f aca="false">C50*D50</f>
        <v>720</v>
      </c>
    </row>
    <row r="54" customFormat="false" ht="15" hidden="false" customHeight="true" outlineLevel="0" collapsed="false">
      <c r="A54" s="67" t="s">
        <v>697</v>
      </c>
      <c r="B54" s="67" t="s">
        <v>698</v>
      </c>
      <c r="C54" s="89" t="n">
        <v>4</v>
      </c>
      <c r="D54" s="85" t="n">
        <v>1400</v>
      </c>
      <c r="E54" s="73" t="n">
        <f aca="false">C51*D51</f>
        <v>234</v>
      </c>
    </row>
    <row r="55" customFormat="false" ht="15" hidden="false" customHeight="true" outlineLevel="0" collapsed="false">
      <c r="A55" s="67" t="s">
        <v>699</v>
      </c>
      <c r="B55" s="67" t="s">
        <v>700</v>
      </c>
      <c r="C55" s="89" t="n">
        <v>1</v>
      </c>
      <c r="D55" s="85" t="n">
        <v>1900</v>
      </c>
      <c r="E55" s="73" t="n">
        <f aca="false">C52*D52</f>
        <v>5500</v>
      </c>
    </row>
    <row r="56" customFormat="false" ht="15" hidden="false" customHeight="true" outlineLevel="0" collapsed="false">
      <c r="A56" s="67" t="s">
        <v>701</v>
      </c>
      <c r="B56" s="67" t="s">
        <v>702</v>
      </c>
      <c r="C56" s="89" t="n">
        <v>2</v>
      </c>
      <c r="D56" s="85" t="n">
        <v>1750</v>
      </c>
      <c r="E56" s="73" t="n">
        <f aca="false">C53*D53</f>
        <v>200</v>
      </c>
    </row>
    <row r="57" customFormat="false" ht="15" hidden="false" customHeight="true" outlineLevel="0" collapsed="false">
      <c r="A57" s="67" t="s">
        <v>703</v>
      </c>
      <c r="B57" s="67" t="s">
        <v>704</v>
      </c>
      <c r="C57" s="89" t="n">
        <v>2</v>
      </c>
      <c r="D57" s="85" t="n">
        <v>800</v>
      </c>
      <c r="E57" s="73" t="n">
        <f aca="false">C54*D54</f>
        <v>5600</v>
      </c>
    </row>
    <row r="58" customFormat="false" ht="15" hidden="false" customHeight="true" outlineLevel="0" collapsed="false">
      <c r="A58" s="67" t="s">
        <v>705</v>
      </c>
      <c r="B58" s="67" t="s">
        <v>706</v>
      </c>
      <c r="C58" s="89" t="n">
        <v>1</v>
      </c>
      <c r="D58" s="85" t="n">
        <v>1400</v>
      </c>
      <c r="E58" s="73" t="n">
        <f aca="false">C55*D55</f>
        <v>1900</v>
      </c>
    </row>
    <row r="59" customFormat="false" ht="15" hidden="false" customHeight="true" outlineLevel="0" collapsed="false">
      <c r="A59" s="67" t="s">
        <v>707</v>
      </c>
      <c r="B59" s="67" t="s">
        <v>708</v>
      </c>
      <c r="C59" s="89" t="n">
        <v>1</v>
      </c>
      <c r="D59" s="85" t="n">
        <v>1500</v>
      </c>
      <c r="E59" s="73" t="n">
        <f aca="false">C56*D56</f>
        <v>3500</v>
      </c>
    </row>
    <row r="60" customFormat="false" ht="15" hidden="false" customHeight="true" outlineLevel="0" collapsed="false">
      <c r="A60" s="67" t="s">
        <v>709</v>
      </c>
      <c r="B60" s="67" t="s">
        <v>710</v>
      </c>
      <c r="C60" s="89" t="n">
        <v>1</v>
      </c>
      <c r="D60" s="85" t="n">
        <v>1500</v>
      </c>
      <c r="E60" s="73" t="n">
        <f aca="false">C57*D57</f>
        <v>1600</v>
      </c>
    </row>
    <row r="61" customFormat="false" ht="15" hidden="false" customHeight="true" outlineLevel="0" collapsed="false">
      <c r="A61" s="67" t="s">
        <v>711</v>
      </c>
      <c r="B61" s="67" t="s">
        <v>712</v>
      </c>
      <c r="C61" s="89" t="n">
        <v>1</v>
      </c>
      <c r="D61" s="85" t="n">
        <v>1200</v>
      </c>
      <c r="E61" s="73" t="n">
        <f aca="false">C58*D58</f>
        <v>1400</v>
      </c>
    </row>
    <row r="62" customFormat="false" ht="15" hidden="false" customHeight="true" outlineLevel="0" collapsed="false">
      <c r="A62" s="67" t="s">
        <v>713</v>
      </c>
      <c r="B62" s="67" t="s">
        <v>714</v>
      </c>
      <c r="C62" s="89" t="n">
        <v>1</v>
      </c>
      <c r="D62" s="85" t="n">
        <v>1400</v>
      </c>
      <c r="E62" s="73" t="n">
        <f aca="false">C59*D59</f>
        <v>1500</v>
      </c>
    </row>
    <row r="63" customFormat="false" ht="15" hidden="false" customHeight="true" outlineLevel="0" collapsed="false">
      <c r="A63" s="67" t="s">
        <v>715</v>
      </c>
      <c r="B63" s="67" t="s">
        <v>716</v>
      </c>
      <c r="C63" s="89" t="n">
        <v>1</v>
      </c>
      <c r="D63" s="85" t="n">
        <v>1100</v>
      </c>
      <c r="E63" s="73" t="n">
        <f aca="false">C60*D60</f>
        <v>1500</v>
      </c>
    </row>
    <row r="64" customFormat="false" ht="15" hidden="false" customHeight="true" outlineLevel="0" collapsed="false">
      <c r="A64" s="67" t="s">
        <v>717</v>
      </c>
      <c r="B64" s="67" t="s">
        <v>718</v>
      </c>
      <c r="C64" s="89" t="n">
        <v>1</v>
      </c>
      <c r="D64" s="85" t="n">
        <v>1100</v>
      </c>
      <c r="E64" s="73" t="n">
        <f aca="false">C61*D61</f>
        <v>1200</v>
      </c>
    </row>
    <row r="65" customFormat="false" ht="15" hidden="false" customHeight="true" outlineLevel="0" collapsed="false">
      <c r="A65" s="67" t="s">
        <v>719</v>
      </c>
      <c r="B65" s="67" t="s">
        <v>720</v>
      </c>
      <c r="C65" s="89" t="n">
        <v>2</v>
      </c>
      <c r="D65" s="85" t="n">
        <v>900</v>
      </c>
      <c r="E65" s="73" t="n">
        <f aca="false">C62*D62</f>
        <v>1400</v>
      </c>
    </row>
    <row r="66" customFormat="false" ht="15" hidden="false" customHeight="true" outlineLevel="0" collapsed="false">
      <c r="A66" s="67" t="s">
        <v>721</v>
      </c>
      <c r="B66" s="67" t="s">
        <v>196</v>
      </c>
      <c r="C66" s="89" t="n">
        <v>1</v>
      </c>
      <c r="D66" s="85" t="n">
        <v>1000</v>
      </c>
      <c r="E66" s="73" t="n">
        <f aca="false">C63*D63</f>
        <v>1100</v>
      </c>
    </row>
    <row r="67" customFormat="false" ht="15" hidden="false" customHeight="true" outlineLevel="0" collapsed="false">
      <c r="A67" s="67" t="s">
        <v>722</v>
      </c>
      <c r="B67" s="67" t="s">
        <v>723</v>
      </c>
      <c r="C67" s="89" t="n">
        <v>1</v>
      </c>
      <c r="D67" s="85" t="n">
        <v>1000</v>
      </c>
      <c r="E67" s="73" t="n">
        <f aca="false">C64*D64</f>
        <v>1100</v>
      </c>
    </row>
    <row r="68" customFormat="false" ht="15" hidden="false" customHeight="true" outlineLevel="0" collapsed="false">
      <c r="A68" s="67" t="s">
        <v>724</v>
      </c>
      <c r="B68" s="67" t="s">
        <v>725</v>
      </c>
      <c r="C68" s="89" t="n">
        <v>12</v>
      </c>
      <c r="D68" s="85" t="n">
        <v>225</v>
      </c>
      <c r="E68" s="73" t="n">
        <f aca="false">C65*D65</f>
        <v>1800</v>
      </c>
    </row>
    <row r="69" customFormat="false" ht="15" hidden="false" customHeight="true" outlineLevel="0" collapsed="false">
      <c r="A69" s="67" t="s">
        <v>726</v>
      </c>
      <c r="B69" s="67" t="s">
        <v>727</v>
      </c>
      <c r="E69" s="85" t="n">
        <v>2500</v>
      </c>
    </row>
    <row r="70" customFormat="false" ht="15" hidden="false" customHeight="true" outlineLevel="0" collapsed="false">
      <c r="A70" s="67" t="s">
        <v>728</v>
      </c>
      <c r="B70" s="67" t="s">
        <v>729</v>
      </c>
      <c r="E70" s="85" t="n">
        <v>1500</v>
      </c>
    </row>
    <row r="71" customFormat="false" ht="15" hidden="false" customHeight="true" outlineLevel="0" collapsed="false">
      <c r="A71" s="67" t="s">
        <v>730</v>
      </c>
      <c r="B71" s="67" t="s">
        <v>731</v>
      </c>
      <c r="E71" s="85" t="n">
        <v>1800</v>
      </c>
    </row>
    <row r="72" customFormat="false" ht="15" hidden="false" customHeight="true" outlineLevel="0" collapsed="false">
      <c r="A72" s="67" t="s">
        <v>732</v>
      </c>
      <c r="B72" s="67" t="s">
        <v>733</v>
      </c>
      <c r="E72" s="85" t="n">
        <v>900</v>
      </c>
    </row>
    <row r="73" customFormat="false" ht="15" hidden="false" customHeight="true" outlineLevel="0" collapsed="false">
      <c r="A73" s="67" t="s">
        <v>734</v>
      </c>
      <c r="B73" s="67" t="s">
        <v>735</v>
      </c>
      <c r="E73" s="85" t="n">
        <v>2000</v>
      </c>
    </row>
    <row r="74" customFormat="false" ht="15" hidden="false" customHeight="true" outlineLevel="0" collapsed="false">
      <c r="A74" s="67" t="s">
        <v>736</v>
      </c>
      <c r="B74" s="67" t="s">
        <v>737</v>
      </c>
      <c r="E74" s="85" t="n">
        <v>800</v>
      </c>
    </row>
    <row r="75" customFormat="false" ht="15" hidden="false" customHeight="true" outlineLevel="0" collapsed="false">
      <c r="A75" s="67" t="s">
        <v>738</v>
      </c>
      <c r="B75" s="67" t="s">
        <v>739</v>
      </c>
      <c r="E75" s="85" t="n">
        <v>600</v>
      </c>
    </row>
    <row r="76" customFormat="false" ht="15" hidden="false" customHeight="true" outlineLevel="0" collapsed="false">
      <c r="A76" s="67" t="s">
        <v>740</v>
      </c>
      <c r="B76" s="67" t="s">
        <v>741</v>
      </c>
      <c r="C76" s="89" t="n">
        <v>3</v>
      </c>
      <c r="D76" s="85" t="n">
        <v>190</v>
      </c>
      <c r="E76" s="73" t="n">
        <f aca="false">C73*D73</f>
        <v>0</v>
      </c>
    </row>
    <row r="77" customFormat="false" ht="15" hidden="false" customHeight="true" outlineLevel="0" collapsed="false">
      <c r="A77" s="67" t="s">
        <v>742</v>
      </c>
      <c r="B77" s="67" t="s">
        <v>743</v>
      </c>
      <c r="D77" s="79" t="n">
        <v>0.08</v>
      </c>
      <c r="E77" s="73" t="n">
        <f aca="false">D77*(E55+E56)</f>
        <v>456</v>
      </c>
    </row>
    <row r="78" customFormat="false" ht="15" hidden="false" customHeight="true" outlineLevel="0" collapsed="false">
      <c r="A78" s="67" t="s">
        <v>744</v>
      </c>
      <c r="B78" s="67" t="s">
        <v>745</v>
      </c>
      <c r="D78" s="79" t="n">
        <v>0.015</v>
      </c>
      <c r="E78" s="73" t="n">
        <f aca="false">D78*(E55+E56)</f>
        <v>85.5</v>
      </c>
    </row>
    <row r="79" customFormat="false" ht="15" hidden="false" customHeight="false" outlineLevel="0" collapsed="false">
      <c r="A79" s="67" t="s">
        <v>746</v>
      </c>
      <c r="B79" s="67" t="s">
        <v>447</v>
      </c>
      <c r="D79" s="79" t="n">
        <v>0.15</v>
      </c>
      <c r="E79" s="73" t="n">
        <f aca="false">D76*(E49+E50)</f>
        <v>402800</v>
      </c>
    </row>
    <row r="80" customFormat="false" ht="15" hidden="false" customHeight="true" outlineLevel="0" collapsed="false">
      <c r="A80" s="67" t="s">
        <v>747</v>
      </c>
      <c r="B80" s="67" t="s">
        <v>748</v>
      </c>
      <c r="D80" s="79" t="n">
        <v>0.13</v>
      </c>
      <c r="E80" s="73" t="n">
        <f aca="false">D77*E43</f>
        <v>100</v>
      </c>
    </row>
    <row r="81" customFormat="false" ht="15" hidden="false" customHeight="false" outlineLevel="0" collapsed="false">
      <c r="A81" s="67" t="s">
        <v>749</v>
      </c>
      <c r="B81" s="67" t="s">
        <v>750</v>
      </c>
      <c r="D81" s="79" t="n">
        <v>0.18</v>
      </c>
      <c r="E81" s="73" t="n">
        <f aca="false">D78*SUM(E43:E72)</f>
        <v>952.11</v>
      </c>
    </row>
    <row r="82" customFormat="false" ht="15" hidden="false" customHeight="true" outlineLevel="0" collapsed="false">
      <c r="A82" s="94"/>
      <c r="B82" s="94"/>
      <c r="C82" s="94"/>
      <c r="D82" s="94"/>
      <c r="E82" s="94"/>
      <c r="F82" s="94"/>
    </row>
    <row r="83" customFormat="false" ht="15" hidden="false" customHeight="true" outlineLevel="0" collapsed="false">
      <c r="B83" s="69" t="s">
        <v>751</v>
      </c>
      <c r="F83" s="70" t="n">
        <f aca="false">SUM(E43:E78)</f>
        <v>67415.5</v>
      </c>
    </row>
    <row r="84" customFormat="false" ht="15" hidden="false" customHeight="true" outlineLevel="0" collapsed="false"/>
    <row r="85" customFormat="false" ht="15" hidden="false" customHeight="true" outlineLevel="0" collapsed="false">
      <c r="A85" s="95" t="s">
        <v>752</v>
      </c>
    </row>
    <row r="86" customFormat="false" ht="15" hidden="false" customHeight="true" outlineLevel="0" collapsed="false">
      <c r="C86" s="88" t="s">
        <v>217</v>
      </c>
      <c r="D86" s="88" t="s">
        <v>218</v>
      </c>
      <c r="E86" s="88" t="s">
        <v>219</v>
      </c>
      <c r="F86" s="88" t="s">
        <v>220</v>
      </c>
    </row>
    <row r="87" customFormat="false" ht="15" hidden="false" customHeight="true" outlineLevel="0" collapsed="false">
      <c r="A87" s="67" t="s">
        <v>753</v>
      </c>
      <c r="B87" s="67" t="s">
        <v>754</v>
      </c>
      <c r="E87" s="85" t="n">
        <v>5000</v>
      </c>
    </row>
    <row r="88" customFormat="false" ht="15" hidden="false" customHeight="true" outlineLevel="0" collapsed="false">
      <c r="A88" s="67" t="s">
        <v>755</v>
      </c>
      <c r="B88" s="67" t="s">
        <v>756</v>
      </c>
      <c r="E88" s="85" t="n">
        <v>2000</v>
      </c>
    </row>
    <row r="89" customFormat="false" ht="15" hidden="false" customHeight="true" outlineLevel="0" collapsed="false">
      <c r="A89" s="67" t="s">
        <v>757</v>
      </c>
      <c r="B89" s="67" t="s">
        <v>758</v>
      </c>
      <c r="E89" s="85" t="n">
        <v>1500</v>
      </c>
    </row>
    <row r="90" customFormat="false" ht="15" hidden="false" customHeight="true" outlineLevel="0" collapsed="false">
      <c r="A90" s="67" t="s">
        <v>759</v>
      </c>
      <c r="B90" s="67" t="s">
        <v>760</v>
      </c>
      <c r="E90" s="85" t="n">
        <v>1200</v>
      </c>
    </row>
    <row r="91" customFormat="false" ht="15" hidden="false" customHeight="true" outlineLevel="0" collapsed="false">
      <c r="A91" s="67" t="s">
        <v>761</v>
      </c>
      <c r="B91" s="67" t="s">
        <v>762</v>
      </c>
      <c r="E91" s="85" t="n">
        <v>400</v>
      </c>
    </row>
    <row r="92" customFormat="false" ht="15" hidden="false" customHeight="false" outlineLevel="0" collapsed="false">
      <c r="A92" s="67" t="s">
        <v>763</v>
      </c>
      <c r="B92" s="67" t="s">
        <v>764</v>
      </c>
      <c r="E92" s="85" t="n">
        <v>600</v>
      </c>
    </row>
    <row r="93" customFormat="false" ht="15" hidden="false" customHeight="true" outlineLevel="0" collapsed="false">
      <c r="A93" s="67" t="s">
        <v>765</v>
      </c>
      <c r="B93" s="67" t="s">
        <v>766</v>
      </c>
      <c r="E93" s="85" t="n">
        <v>500</v>
      </c>
    </row>
    <row r="94" customFormat="false" ht="15" hidden="false" customHeight="false" outlineLevel="0" collapsed="false">
      <c r="A94" s="67" t="s">
        <v>767</v>
      </c>
      <c r="B94" s="67" t="s">
        <v>768</v>
      </c>
      <c r="E94" s="85" t="n">
        <v>800</v>
      </c>
    </row>
    <row r="95" customFormat="false" ht="15" hidden="false" customHeight="true" outlineLevel="0" collapsed="false">
      <c r="A95" s="94"/>
      <c r="B95" s="94"/>
      <c r="C95" s="94"/>
      <c r="D95" s="94"/>
      <c r="E95" s="94"/>
      <c r="F95" s="94"/>
    </row>
    <row r="96" customFormat="false" ht="15" hidden="false" customHeight="true" outlineLevel="0" collapsed="false">
      <c r="B96" s="69" t="s">
        <v>769</v>
      </c>
      <c r="F96" s="70" t="n">
        <f aca="false">SUM(E84:E91)</f>
        <v>10100</v>
      </c>
    </row>
    <row r="97" customFormat="false" ht="15" hidden="false" customHeight="true" outlineLevel="0" collapsed="false"/>
    <row r="98" customFormat="false" ht="15" hidden="false" customHeight="true" outlineLevel="0" collapsed="false">
      <c r="A98" s="95" t="s">
        <v>770</v>
      </c>
    </row>
    <row r="99" customFormat="false" ht="15" hidden="false" customHeight="true" outlineLevel="0" collapsed="false">
      <c r="C99" s="88" t="s">
        <v>217</v>
      </c>
      <c r="D99" s="88" t="s">
        <v>218</v>
      </c>
      <c r="E99" s="88" t="s">
        <v>219</v>
      </c>
      <c r="F99" s="88" t="s">
        <v>220</v>
      </c>
    </row>
    <row r="100" customFormat="false" ht="15" hidden="false" customHeight="true" outlineLevel="0" collapsed="false">
      <c r="A100" s="67" t="s">
        <v>771</v>
      </c>
      <c r="B100" s="67" t="s">
        <v>772</v>
      </c>
      <c r="E100" s="85" t="n">
        <v>5000</v>
      </c>
    </row>
    <row r="101" customFormat="false" ht="15" hidden="false" customHeight="true" outlineLevel="0" collapsed="false">
      <c r="A101" s="67" t="s">
        <v>773</v>
      </c>
      <c r="B101" s="67" t="s">
        <v>774</v>
      </c>
      <c r="E101" s="85" t="n">
        <v>1800</v>
      </c>
    </row>
    <row r="102" customFormat="false" ht="15" hidden="false" customHeight="true" outlineLevel="0" collapsed="false">
      <c r="A102" s="67" t="s">
        <v>775</v>
      </c>
      <c r="B102" s="67" t="s">
        <v>776</v>
      </c>
      <c r="E102" s="85" t="n">
        <v>300</v>
      </c>
    </row>
    <row r="103" customFormat="false" ht="15" hidden="false" customHeight="true" outlineLevel="0" collapsed="false">
      <c r="A103" s="67" t="s">
        <v>777</v>
      </c>
      <c r="B103" s="67" t="s">
        <v>778</v>
      </c>
      <c r="E103" s="85" t="n">
        <v>200</v>
      </c>
    </row>
    <row r="104" customFormat="false" ht="15" hidden="false" customHeight="true" outlineLevel="0" collapsed="false">
      <c r="A104" s="67" t="s">
        <v>779</v>
      </c>
      <c r="B104" s="67" t="s">
        <v>780</v>
      </c>
      <c r="E104" s="85" t="n">
        <v>400</v>
      </c>
    </row>
    <row r="105" customFormat="false" ht="15" hidden="false" customHeight="false" outlineLevel="0" collapsed="false">
      <c r="A105" s="67" t="s">
        <v>781</v>
      </c>
      <c r="B105" s="67" t="s">
        <v>782</v>
      </c>
      <c r="E105" s="85" t="n">
        <v>500</v>
      </c>
    </row>
    <row r="106" customFormat="false" ht="15" hidden="false" customHeight="true" outlineLevel="0" collapsed="false">
      <c r="A106" s="67" t="s">
        <v>783</v>
      </c>
      <c r="B106" s="67" t="s">
        <v>784</v>
      </c>
      <c r="E106" s="85" t="n">
        <v>200</v>
      </c>
    </row>
    <row r="107" customFormat="false" ht="15" hidden="false" customHeight="false" outlineLevel="0" collapsed="false">
      <c r="A107" s="67" t="s">
        <v>785</v>
      </c>
      <c r="B107" s="67" t="s">
        <v>786</v>
      </c>
      <c r="D107" s="79" t="n">
        <v>0.03</v>
      </c>
      <c r="E107" s="68" t="n">
        <f aca="false">D104*'Seating Plan'!F28</f>
        <v>0</v>
      </c>
    </row>
    <row r="108" customFormat="false" ht="15" hidden="false" customHeight="true" outlineLevel="0" collapsed="false">
      <c r="A108" s="94"/>
      <c r="B108" s="94"/>
      <c r="C108" s="94"/>
      <c r="D108" s="94"/>
      <c r="E108" s="94"/>
      <c r="F108" s="94"/>
    </row>
    <row r="109" customFormat="false" ht="15" hidden="false" customHeight="true" outlineLevel="0" collapsed="false">
      <c r="B109" s="69" t="s">
        <v>787</v>
      </c>
      <c r="F109" s="70" t="n">
        <f aca="false">SUM(E100:E107)</f>
        <v>8400</v>
      </c>
    </row>
    <row r="110" customFormat="false" ht="15" hidden="false" customHeight="true" outlineLevel="0" collapsed="false"/>
    <row r="111" customFormat="false" ht="15" hidden="false" customHeight="true" outlineLevel="0" collapsed="false">
      <c r="A111" s="95" t="s">
        <v>788</v>
      </c>
    </row>
    <row r="112" customFormat="false" ht="15" hidden="false" customHeight="true" outlineLevel="0" collapsed="false">
      <c r="C112" s="88" t="s">
        <v>217</v>
      </c>
      <c r="D112" s="88" t="s">
        <v>218</v>
      </c>
      <c r="E112" s="88" t="s">
        <v>219</v>
      </c>
      <c r="F112" s="88" t="s">
        <v>220</v>
      </c>
    </row>
    <row r="113" customFormat="false" ht="15" hidden="false" customHeight="true" outlineLevel="0" collapsed="false">
      <c r="A113" s="67" t="s">
        <v>789</v>
      </c>
      <c r="B113" s="67" t="s">
        <v>790</v>
      </c>
      <c r="E113" s="85" t="n">
        <v>1500</v>
      </c>
    </row>
    <row r="114" customFormat="false" ht="15" hidden="false" customHeight="true" outlineLevel="0" collapsed="false">
      <c r="A114" s="67" t="s">
        <v>791</v>
      </c>
      <c r="B114" s="67" t="s">
        <v>792</v>
      </c>
      <c r="E114" s="85" t="n">
        <v>300</v>
      </c>
    </row>
    <row r="115" customFormat="false" ht="15" hidden="false" customHeight="true" outlineLevel="0" collapsed="false">
      <c r="A115" s="67" t="s">
        <v>793</v>
      </c>
      <c r="B115" s="67" t="s">
        <v>794</v>
      </c>
      <c r="E115" s="85" t="n">
        <v>500</v>
      </c>
    </row>
    <row r="116" customFormat="false" ht="15" hidden="false" customHeight="true" outlineLevel="0" collapsed="false">
      <c r="A116" s="67" t="s">
        <v>795</v>
      </c>
      <c r="B116" s="67" t="s">
        <v>796</v>
      </c>
      <c r="E116" s="85" t="n">
        <v>400</v>
      </c>
    </row>
    <row r="117" customFormat="false" ht="15" hidden="false" customHeight="false" outlineLevel="0" collapsed="false">
      <c r="A117" s="67" t="s">
        <v>797</v>
      </c>
      <c r="B117" s="67" t="s">
        <v>798</v>
      </c>
      <c r="E117" s="85" t="n">
        <v>200</v>
      </c>
    </row>
    <row r="118" customFormat="false" ht="15" hidden="false" customHeight="true" outlineLevel="0" collapsed="false">
      <c r="A118" s="67" t="s">
        <v>799</v>
      </c>
      <c r="B118" s="67" t="s">
        <v>800</v>
      </c>
      <c r="E118" s="85" t="n">
        <v>150</v>
      </c>
    </row>
    <row r="119" customFormat="false" ht="15" hidden="false" customHeight="false" outlineLevel="0" collapsed="false">
      <c r="A119" s="67" t="s">
        <v>801</v>
      </c>
      <c r="B119" s="67" t="s">
        <v>802</v>
      </c>
      <c r="E119" s="85" t="n">
        <v>100</v>
      </c>
    </row>
    <row r="120" customFormat="false" ht="15" hidden="false" customHeight="true" outlineLevel="0" collapsed="false"/>
    <row r="121" customFormat="false" ht="15" hidden="false" customHeight="false" outlineLevel="0" collapsed="false">
      <c r="B121" s="69" t="s">
        <v>803</v>
      </c>
      <c r="F121" s="70" t="n">
        <f aca="false">SUM(E113:E119)</f>
        <v>3150</v>
      </c>
    </row>
    <row r="122" customFormat="false" ht="15" hidden="false" customHeight="true" outlineLevel="0" collapsed="false"/>
    <row r="123" customFormat="false" ht="15" hidden="false" customHeight="true" outlineLevel="0" collapsed="false">
      <c r="B123" s="96" t="s">
        <v>804</v>
      </c>
      <c r="F123" s="97" t="n">
        <f aca="false">F23+F39+F83+F96+F109+F121</f>
        <v>106265.5</v>
      </c>
    </row>
    <row r="124" customFormat="false" ht="15" hidden="false" customHeight="true" outlineLevel="0" collapsed="false">
      <c r="B124" s="98" t="s">
        <v>805</v>
      </c>
      <c r="F124" s="99" t="n">
        <f aca="false">F123-E49-E50-0.18*E49</f>
        <v>103893.5</v>
      </c>
    </row>
    <row r="125" customFormat="false" ht="15" hidden="false" customHeight="true" outlineLevel="0" collapsed="false">
      <c r="B125" s="100" t="s">
        <v>806</v>
      </c>
      <c r="C125" s="100"/>
      <c r="D125" s="100"/>
      <c r="E125" s="100"/>
      <c r="F125" s="100"/>
    </row>
    <row r="126" customFormat="false" ht="15" hidden="false" customHeight="true" outlineLevel="0" collapsed="false">
      <c r="B126" s="101" t="s">
        <v>807</v>
      </c>
      <c r="C126" s="101"/>
      <c r="D126" s="101"/>
      <c r="E126" s="101"/>
      <c r="F126" s="101"/>
    </row>
    <row r="127" customFormat="false" ht="15" hidden="false" customHeight="true" outlineLevel="0" collapsed="false">
      <c r="B127" s="80" t="s">
        <v>808</v>
      </c>
      <c r="C127" s="80"/>
      <c r="D127" s="80"/>
      <c r="E127" s="80"/>
      <c r="F127" s="80"/>
    </row>
    <row r="128" customFormat="false" ht="15" hidden="false" customHeight="true" outlineLevel="0" collapsed="false">
      <c r="B128" s="80" t="s">
        <v>809</v>
      </c>
      <c r="C128" s="80"/>
      <c r="D128" s="80"/>
      <c r="E128" s="80"/>
      <c r="F128" s="80"/>
    </row>
    <row r="129" customFormat="false" ht="15" hidden="false" customHeight="true" outlineLevel="0" collapsed="false">
      <c r="B129" s="80" t="s">
        <v>810</v>
      </c>
      <c r="C129" s="80"/>
      <c r="D129" s="80"/>
      <c r="E129" s="80"/>
      <c r="F129" s="80"/>
    </row>
    <row r="130" customFormat="false" ht="22.35" hidden="false" customHeight="false" outlineLevel="0" collapsed="false">
      <c r="B130" s="102" t="s">
        <v>811</v>
      </c>
    </row>
    <row r="131" customFormat="false" ht="22.35" hidden="false" customHeight="false" outlineLevel="0" collapsed="false">
      <c r="B131" s="102" t="s">
        <v>812</v>
      </c>
    </row>
    <row r="132" customFormat="false" ht="22.35" hidden="false" customHeight="false" outlineLevel="0" collapsed="false">
      <c r="B132" s="102" t="s">
        <v>813</v>
      </c>
    </row>
    <row r="133" customFormat="false" ht="22.35" hidden="false" customHeight="false" outlineLevel="0" collapsed="false">
      <c r="B133" s="102" t="s">
        <v>814</v>
      </c>
    </row>
  </sheetData>
  <mergeCells count="13">
    <mergeCell ref="A6:F6"/>
    <mergeCell ref="A7:F7"/>
    <mergeCell ref="A9:F9"/>
    <mergeCell ref="A25:F25"/>
    <mergeCell ref="A41:F41"/>
    <mergeCell ref="A82:F82"/>
    <mergeCell ref="A95:F95"/>
    <mergeCell ref="A108:F108"/>
    <mergeCell ref="B125:F125"/>
    <mergeCell ref="B126:F126"/>
    <mergeCell ref="B127:F127"/>
    <mergeCell ref="B128:F128"/>
    <mergeCell ref="B129:F1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2"/>
    <col collapsed="false" customWidth="true" hidden="false" outlineLevel="0" max="4" min="3" style="1" width="10"/>
    <col collapsed="false" customWidth="true" hidden="false" outlineLevel="0" max="5" min="5" style="1" width="12"/>
    <col collapsed="false" customWidth="true" hidden="false" outlineLevel="0" max="7" min="6" style="1" width="14"/>
  </cols>
  <sheetData>
    <row r="1" customFormat="false" ht="15" hidden="false" customHeight="true" outlineLevel="0" collapsed="false">
      <c r="A1" s="59" t="s">
        <v>114</v>
      </c>
      <c r="F1" s="60" t="s">
        <v>115</v>
      </c>
    </row>
    <row r="2" customFormat="false" ht="15" hidden="false" customHeight="true" outlineLevel="0" collapsed="false">
      <c r="A2" s="61" t="s">
        <v>116</v>
      </c>
    </row>
    <row r="3" customFormat="false" ht="15" hidden="false" customHeight="true" outlineLevel="0" collapsed="false">
      <c r="A3" s="61" t="s">
        <v>117</v>
      </c>
    </row>
    <row r="4" customFormat="false" ht="15" hidden="false" customHeight="true" outlineLevel="0" collapsed="false">
      <c r="A4" s="62" t="s">
        <v>118</v>
      </c>
      <c r="F4" s="63" t="s">
        <v>119</v>
      </c>
    </row>
    <row r="6" customFormat="false" ht="15" hidden="false" customHeight="true" outlineLevel="0" collapsed="false">
      <c r="A6" s="64" t="s">
        <v>815</v>
      </c>
      <c r="B6" s="64"/>
      <c r="C6" s="64"/>
      <c r="D6" s="64"/>
      <c r="E6" s="64"/>
      <c r="F6" s="64"/>
      <c r="G6" s="64"/>
    </row>
    <row r="7" customFormat="false" ht="15" hidden="false" customHeight="true" outlineLevel="0" collapsed="false">
      <c r="A7" s="86" t="s">
        <v>816</v>
      </c>
      <c r="B7" s="86"/>
      <c r="C7" s="86"/>
      <c r="D7" s="86"/>
      <c r="E7" s="86"/>
      <c r="F7" s="86"/>
      <c r="G7" s="86"/>
    </row>
    <row r="9" customFormat="false" ht="15" hidden="false" customHeight="true" outlineLevel="0" collapsed="false">
      <c r="B9" s="76" t="s">
        <v>817</v>
      </c>
      <c r="C9" s="89" t="n">
        <v>150</v>
      </c>
    </row>
    <row r="10" customFormat="false" ht="15" hidden="false" customHeight="true" outlineLevel="0" collapsed="false">
      <c r="B10" s="76" t="s">
        <v>818</v>
      </c>
      <c r="C10" s="89" t="n">
        <v>12</v>
      </c>
    </row>
    <row r="11" customFormat="false" ht="15" hidden="false" customHeight="true" outlineLevel="0" collapsed="false">
      <c r="B11" s="69" t="s">
        <v>819</v>
      </c>
      <c r="C11" s="103" t="n">
        <f aca="false">C9*C10</f>
        <v>1800</v>
      </c>
    </row>
    <row r="13" customFormat="false" ht="15" hidden="false" customHeight="true" outlineLevel="0" collapsed="false">
      <c r="A13" s="104" t="s">
        <v>820</v>
      </c>
      <c r="B13" s="104" t="s">
        <v>821</v>
      </c>
      <c r="C13" s="105" t="s">
        <v>822</v>
      </c>
      <c r="D13" s="105" t="s">
        <v>823</v>
      </c>
      <c r="E13" s="105" t="s">
        <v>824</v>
      </c>
      <c r="F13" s="105" t="s">
        <v>825</v>
      </c>
    </row>
    <row r="14" customFormat="false" ht="15" hidden="false" customHeight="true" outlineLevel="0" collapsed="false">
      <c r="A14" s="81" t="s">
        <v>826</v>
      </c>
      <c r="B14" s="67" t="s">
        <v>827</v>
      </c>
      <c r="C14" s="89" t="n">
        <v>2</v>
      </c>
      <c r="D14" s="89" t="n">
        <v>80</v>
      </c>
      <c r="E14" s="85" t="n">
        <v>40</v>
      </c>
      <c r="F14" s="73" t="n">
        <f aca="false">C14*D14*E14</f>
        <v>6400</v>
      </c>
    </row>
    <row r="15" customFormat="false" ht="15" hidden="false" customHeight="true" outlineLevel="0" collapsed="false">
      <c r="B15" s="67" t="s">
        <v>828</v>
      </c>
      <c r="C15" s="89" t="n">
        <v>2</v>
      </c>
      <c r="D15" s="89" t="n">
        <v>50</v>
      </c>
      <c r="E15" s="85" t="n">
        <v>60</v>
      </c>
      <c r="F15" s="73" t="n">
        <f aca="false">C15*D15*E15</f>
        <v>6000</v>
      </c>
    </row>
    <row r="16" customFormat="false" ht="15" hidden="false" customHeight="true" outlineLevel="0" collapsed="false">
      <c r="B16" s="67" t="s">
        <v>829</v>
      </c>
      <c r="C16" s="89" t="n">
        <v>2</v>
      </c>
      <c r="D16" s="89" t="n">
        <v>20</v>
      </c>
      <c r="E16" s="85" t="n">
        <v>80</v>
      </c>
      <c r="F16" s="73" t="n">
        <f aca="false">C16*D16*E16</f>
        <v>3200</v>
      </c>
    </row>
    <row r="17" customFormat="false" ht="15" hidden="false" customHeight="true" outlineLevel="0" collapsed="false">
      <c r="A17" s="81" t="s">
        <v>830</v>
      </c>
      <c r="B17" s="67" t="s">
        <v>827</v>
      </c>
      <c r="C17" s="89" t="n">
        <v>2</v>
      </c>
      <c r="D17" s="89" t="n">
        <v>40</v>
      </c>
      <c r="E17" s="85" t="n">
        <v>50</v>
      </c>
      <c r="F17" s="73" t="n">
        <f aca="false">C17*D17*E17</f>
        <v>4000</v>
      </c>
    </row>
    <row r="18" customFormat="false" ht="15" hidden="false" customHeight="true" outlineLevel="0" collapsed="false">
      <c r="B18" s="67" t="s">
        <v>828</v>
      </c>
      <c r="C18" s="89" t="n">
        <v>2</v>
      </c>
      <c r="D18" s="89" t="n">
        <v>70</v>
      </c>
      <c r="E18" s="85" t="n">
        <v>80</v>
      </c>
      <c r="F18" s="73" t="n">
        <f aca="false">C18*D18*E18</f>
        <v>11200</v>
      </c>
    </row>
    <row r="19" customFormat="false" ht="15" hidden="false" customHeight="true" outlineLevel="0" collapsed="false">
      <c r="B19" s="67" t="s">
        <v>829</v>
      </c>
      <c r="C19" s="89" t="n">
        <v>2</v>
      </c>
      <c r="D19" s="89" t="n">
        <v>40</v>
      </c>
      <c r="E19" s="85" t="n">
        <v>110</v>
      </c>
      <c r="F19" s="73" t="n">
        <f aca="false">C19*D19*E19</f>
        <v>8800</v>
      </c>
    </row>
    <row r="20" customFormat="false" ht="15" hidden="false" customHeight="true" outlineLevel="0" collapsed="false">
      <c r="A20" s="81" t="s">
        <v>831</v>
      </c>
      <c r="B20" s="67" t="s">
        <v>827</v>
      </c>
      <c r="C20" s="89" t="n">
        <v>4</v>
      </c>
      <c r="D20" s="89" t="n">
        <v>30</v>
      </c>
      <c r="E20" s="85" t="n">
        <v>60</v>
      </c>
      <c r="F20" s="73" t="n">
        <f aca="false">C20*D20*E20</f>
        <v>7200</v>
      </c>
    </row>
    <row r="21" customFormat="false" ht="15" hidden="false" customHeight="true" outlineLevel="0" collapsed="false">
      <c r="B21" s="67" t="s">
        <v>828</v>
      </c>
      <c r="C21" s="89" t="n">
        <v>4</v>
      </c>
      <c r="D21" s="89" t="n">
        <v>50</v>
      </c>
      <c r="E21" s="85" t="n">
        <v>100</v>
      </c>
      <c r="F21" s="73" t="n">
        <f aca="false">C21*D21*E21</f>
        <v>20000</v>
      </c>
    </row>
    <row r="22" customFormat="false" ht="15" hidden="false" customHeight="true" outlineLevel="0" collapsed="false">
      <c r="B22" s="67" t="s">
        <v>829</v>
      </c>
      <c r="C22" s="89" t="n">
        <v>4</v>
      </c>
      <c r="D22" s="89" t="n">
        <v>50</v>
      </c>
      <c r="E22" s="85" t="n">
        <v>140</v>
      </c>
      <c r="F22" s="73" t="n">
        <f aca="false">C22*D22*E22</f>
        <v>28000</v>
      </c>
    </row>
    <row r="23" customFormat="false" ht="15" hidden="false" customHeight="true" outlineLevel="0" collapsed="false">
      <c r="B23" s="67" t="s">
        <v>832</v>
      </c>
      <c r="C23" s="89" t="n">
        <v>4</v>
      </c>
      <c r="D23" s="89" t="n">
        <v>20</v>
      </c>
      <c r="E23" s="85" t="n">
        <v>185</v>
      </c>
      <c r="F23" s="73" t="n">
        <f aca="false">C23*D23*E23</f>
        <v>14800</v>
      </c>
    </row>
    <row r="24" customFormat="false" ht="15" hidden="false" customHeight="true" outlineLevel="0" collapsed="false">
      <c r="A24" s="81" t="s">
        <v>833</v>
      </c>
      <c r="B24" s="67" t="s">
        <v>827</v>
      </c>
      <c r="C24" s="89" t="n">
        <v>4</v>
      </c>
      <c r="D24" s="89" t="n">
        <v>40</v>
      </c>
      <c r="E24" s="85" t="n">
        <v>55</v>
      </c>
      <c r="F24" s="73" t="n">
        <f aca="false">C24*D24*E24</f>
        <v>8800</v>
      </c>
    </row>
    <row r="25" customFormat="false" ht="15" hidden="false" customHeight="true" outlineLevel="0" collapsed="false">
      <c r="B25" s="67" t="s">
        <v>828</v>
      </c>
      <c r="C25" s="89" t="n">
        <v>4</v>
      </c>
      <c r="D25" s="89" t="n">
        <v>60</v>
      </c>
      <c r="E25" s="85" t="n">
        <v>90</v>
      </c>
      <c r="F25" s="73" t="n">
        <f aca="false">C25*D25*E25</f>
        <v>21600</v>
      </c>
    </row>
    <row r="26" customFormat="false" ht="15" hidden="false" customHeight="true" outlineLevel="0" collapsed="false">
      <c r="B26" s="67" t="s">
        <v>829</v>
      </c>
      <c r="C26" s="89" t="n">
        <v>4</v>
      </c>
      <c r="D26" s="89" t="n">
        <v>50</v>
      </c>
      <c r="E26" s="85" t="n">
        <v>115</v>
      </c>
      <c r="F26" s="73" t="n">
        <f aca="false">C26*D26*E26</f>
        <v>23000</v>
      </c>
    </row>
    <row r="28" customFormat="false" ht="15" hidden="false" customHeight="true" outlineLevel="0" collapsed="false">
      <c r="B28" s="71" t="s">
        <v>834</v>
      </c>
      <c r="F28" s="72" t="n">
        <f aca="false">SUM(F14:F26)</f>
        <v>163000</v>
      </c>
    </row>
    <row r="29" customFormat="false" ht="15" hidden="false" customHeight="true" outlineLevel="0" collapsed="false">
      <c r="B29" s="81" t="s">
        <v>835</v>
      </c>
      <c r="F29" s="73" t="n">
        <f aca="false">F28/C11</f>
        <v>90.5555555555556</v>
      </c>
    </row>
    <row r="31" customFormat="false" ht="15" hidden="false" customHeight="true" outlineLevel="0" collapsed="false">
      <c r="B31" s="76" t="s">
        <v>836</v>
      </c>
      <c r="F31" s="106" t="n">
        <f aca="false">C14*D14+C17*D17+C20*D20+C24*D24</f>
        <v>520</v>
      </c>
    </row>
    <row r="33" customFormat="false" ht="15" hidden="false" customHeight="true" outlineLevel="0" collapsed="false">
      <c r="B33" s="76" t="s">
        <v>837</v>
      </c>
    </row>
    <row r="34" customFormat="false" ht="15" hidden="false" customHeight="true" outlineLevel="0" collapsed="false">
      <c r="B34" s="107" t="s">
        <v>838</v>
      </c>
      <c r="C34" s="88" t="s">
        <v>825</v>
      </c>
      <c r="D34" s="88" t="s">
        <v>839</v>
      </c>
      <c r="E34" s="88" t="s">
        <v>840</v>
      </c>
    </row>
    <row r="35" customFormat="false" ht="15" hidden="false" customHeight="true" outlineLevel="0" collapsed="false">
      <c r="B35" s="67" t="s">
        <v>841</v>
      </c>
      <c r="C35" s="73" t="n">
        <f aca="false">F28*1.1</f>
        <v>179300</v>
      </c>
      <c r="D35" s="106" t="n">
        <f aca="false">C9*C10*1.1</f>
        <v>1980</v>
      </c>
      <c r="E35" s="73" t="n">
        <f aca="false">C35/D35</f>
        <v>90.5555555555555</v>
      </c>
    </row>
    <row r="36" customFormat="false" ht="15" hidden="false" customHeight="true" outlineLevel="0" collapsed="false">
      <c r="B36" s="67" t="s">
        <v>33</v>
      </c>
      <c r="C36" s="73" t="n">
        <f aca="false">F28*1</f>
        <v>163000</v>
      </c>
      <c r="D36" s="106" t="n">
        <f aca="false">C9*C10*1</f>
        <v>1800</v>
      </c>
      <c r="E36" s="73" t="n">
        <f aca="false">C36/D36</f>
        <v>90.5555555555556</v>
      </c>
    </row>
    <row r="37" customFormat="false" ht="15" hidden="false" customHeight="true" outlineLevel="0" collapsed="false">
      <c r="B37" s="67" t="s">
        <v>34</v>
      </c>
      <c r="C37" s="73" t="n">
        <f aca="false">F28*0.9</f>
        <v>146700</v>
      </c>
      <c r="D37" s="106" t="n">
        <f aca="false">C9*C10*0.9</f>
        <v>1620</v>
      </c>
      <c r="E37" s="73" t="n">
        <f aca="false">C37/D37</f>
        <v>90.5555555555556</v>
      </c>
    </row>
    <row r="38" customFormat="false" ht="15" hidden="false" customHeight="true" outlineLevel="0" collapsed="false">
      <c r="B38" s="67" t="s">
        <v>35</v>
      </c>
      <c r="C38" s="73" t="n">
        <f aca="false">F28*0.8</f>
        <v>130400</v>
      </c>
      <c r="D38" s="106" t="n">
        <f aca="false">C9*C10*0.8</f>
        <v>1440</v>
      </c>
      <c r="E38" s="73" t="n">
        <f aca="false">C38/D38</f>
        <v>90.5555555555556</v>
      </c>
    </row>
    <row r="39" customFormat="false" ht="15" hidden="false" customHeight="true" outlineLevel="0" collapsed="false">
      <c r="B39" s="67" t="s">
        <v>37</v>
      </c>
      <c r="C39" s="73" t="n">
        <f aca="false">F28*0.7</f>
        <v>114100</v>
      </c>
      <c r="D39" s="106" t="n">
        <f aca="false">C9*C10*0.7</f>
        <v>1260</v>
      </c>
      <c r="E39" s="73" t="n">
        <f aca="false">C39/D39</f>
        <v>90.5555555555556</v>
      </c>
    </row>
    <row r="40" customFormat="false" ht="15" hidden="false" customHeight="true" outlineLevel="0" collapsed="false">
      <c r="B40" s="67" t="s">
        <v>842</v>
      </c>
      <c r="C40" s="73" t="n">
        <f aca="false">F28*0.6</f>
        <v>97800</v>
      </c>
      <c r="D40" s="106" t="n">
        <f aca="false">C9*C10*0.6</f>
        <v>1080</v>
      </c>
      <c r="E40" s="73" t="n">
        <f aca="false">C40/D40</f>
        <v>90.5555555555556</v>
      </c>
    </row>
    <row r="41" customFormat="false" ht="15" hidden="false" customHeight="true" outlineLevel="0" collapsed="false">
      <c r="B41" s="67" t="s">
        <v>843</v>
      </c>
      <c r="C41" s="73" t="n">
        <f aca="false">F28*0.5</f>
        <v>81500</v>
      </c>
      <c r="D41" s="106" t="n">
        <f aca="false">C9*C10*0.5</f>
        <v>900</v>
      </c>
      <c r="E41" s="73" t="n">
        <f aca="false">C41/D41</f>
        <v>90.5555555555556</v>
      </c>
    </row>
    <row r="43" customFormat="false" ht="15" hidden="false" customHeight="true" outlineLevel="0" collapsed="false">
      <c r="B43" s="81" t="s">
        <v>844</v>
      </c>
    </row>
    <row r="44" customFormat="false" ht="21.75" hidden="false" customHeight="true" outlineLevel="0" collapsed="false">
      <c r="B44" s="80" t="s">
        <v>845</v>
      </c>
      <c r="C44" s="80"/>
      <c r="D44" s="80"/>
      <c r="E44" s="80"/>
      <c r="F44" s="80"/>
      <c r="G44" s="80"/>
    </row>
    <row r="45" customFormat="false" ht="15" hidden="false" customHeight="true" outlineLevel="0" collapsed="false">
      <c r="B45" s="80" t="s">
        <v>846</v>
      </c>
      <c r="C45" s="80"/>
      <c r="D45" s="80"/>
      <c r="E45" s="80"/>
      <c r="F45" s="80"/>
      <c r="G45" s="80"/>
    </row>
    <row r="46" customFormat="false" ht="15" hidden="false" customHeight="true" outlineLevel="0" collapsed="false">
      <c r="B46" s="80" t="s">
        <v>847</v>
      </c>
      <c r="C46" s="80"/>
      <c r="D46" s="80"/>
      <c r="E46" s="80"/>
      <c r="F46" s="80"/>
      <c r="G46" s="80"/>
    </row>
    <row r="47" customFormat="false" ht="15" hidden="false" customHeight="true" outlineLevel="0" collapsed="false">
      <c r="B47" s="80" t="s">
        <v>848</v>
      </c>
      <c r="C47" s="80"/>
      <c r="D47" s="80"/>
      <c r="E47" s="80"/>
      <c r="F47" s="80"/>
      <c r="G47" s="80"/>
    </row>
    <row r="48" customFormat="false" ht="21.75" hidden="false" customHeight="true" outlineLevel="0" collapsed="false">
      <c r="B48" s="80" t="s">
        <v>849</v>
      </c>
      <c r="C48" s="80"/>
      <c r="D48" s="80"/>
      <c r="E48" s="80"/>
      <c r="F48" s="80"/>
      <c r="G48" s="80"/>
    </row>
    <row r="49" customFormat="false" ht="15" hidden="false" customHeight="true" outlineLevel="0" collapsed="false">
      <c r="B49" s="80" t="s">
        <v>850</v>
      </c>
      <c r="C49" s="80"/>
      <c r="D49" s="80"/>
      <c r="E49" s="80"/>
      <c r="F49" s="80"/>
      <c r="G49" s="80"/>
    </row>
    <row r="50" customFormat="false" ht="15" hidden="false" customHeight="true" outlineLevel="0" collapsed="false">
      <c r="B50" s="80" t="s">
        <v>851</v>
      </c>
      <c r="C50" s="80"/>
      <c r="D50" s="80"/>
      <c r="E50" s="80"/>
      <c r="F50" s="80"/>
      <c r="G50" s="80"/>
    </row>
    <row r="51" customFormat="false" ht="15" hidden="false" customHeight="true" outlineLevel="0" collapsed="false">
      <c r="B51" s="80" t="s">
        <v>852</v>
      </c>
      <c r="C51" s="80"/>
      <c r="D51" s="80"/>
      <c r="E51" s="80"/>
      <c r="F51" s="80"/>
      <c r="G51" s="80"/>
    </row>
  </sheetData>
  <mergeCells count="10">
    <mergeCell ref="A6:G6"/>
    <mergeCell ref="A7:G7"/>
    <mergeCell ref="B44:G44"/>
    <mergeCell ref="B45:G45"/>
    <mergeCell ref="B46:G46"/>
    <mergeCell ref="B47:G47"/>
    <mergeCell ref="B48:G48"/>
    <mergeCell ref="B49:G49"/>
    <mergeCell ref="B50:G50"/>
    <mergeCell ref="B51:G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7" min="3" style="1" width="14"/>
  </cols>
  <sheetData>
    <row r="1" customFormat="false" ht="15" hidden="false" customHeight="true" outlineLevel="0" collapsed="false">
      <c r="A1" s="59" t="s">
        <v>114</v>
      </c>
      <c r="F1" s="60" t="s">
        <v>115</v>
      </c>
    </row>
    <row r="2" customFormat="false" ht="15" hidden="false" customHeight="true" outlineLevel="0" collapsed="false">
      <c r="A2" s="61" t="s">
        <v>116</v>
      </c>
    </row>
    <row r="3" customFormat="false" ht="15" hidden="false" customHeight="true" outlineLevel="0" collapsed="false">
      <c r="A3" s="61" t="s">
        <v>117</v>
      </c>
    </row>
    <row r="4" customFormat="false" ht="15" hidden="false" customHeight="true" outlineLevel="0" collapsed="false">
      <c r="A4" s="62" t="s">
        <v>118</v>
      </c>
      <c r="F4" s="63" t="s">
        <v>119</v>
      </c>
    </row>
    <row r="6" customFormat="false" ht="15" hidden="false" customHeight="true" outlineLevel="0" collapsed="false">
      <c r="A6" s="64" t="s">
        <v>853</v>
      </c>
      <c r="B6" s="64"/>
      <c r="C6" s="64"/>
      <c r="D6" s="64"/>
      <c r="E6" s="64"/>
      <c r="F6" s="64"/>
      <c r="G6" s="64"/>
    </row>
    <row r="7" customFormat="false" ht="15" hidden="false" customHeight="true" outlineLevel="0" collapsed="false">
      <c r="A7" s="86" t="s">
        <v>854</v>
      </c>
      <c r="B7" s="86"/>
      <c r="C7" s="86"/>
      <c r="D7" s="86"/>
      <c r="E7" s="86"/>
      <c r="F7" s="86"/>
      <c r="G7" s="86"/>
    </row>
    <row r="9" customFormat="false" ht="15" hidden="false" customHeight="true" outlineLevel="0" collapsed="false">
      <c r="B9" s="76" t="s">
        <v>855</v>
      </c>
      <c r="C9" s="68" t="n">
        <f aca="false">'Production Budget'!F263</f>
        <v>5965767.288</v>
      </c>
    </row>
    <row r="10" customFormat="false" ht="15" hidden="false" customHeight="true" outlineLevel="0" collapsed="false">
      <c r="B10" s="76" t="s">
        <v>856</v>
      </c>
      <c r="C10" s="68" t="n">
        <f aca="false">'Weekly Operating'!F123</f>
        <v>106265.5</v>
      </c>
    </row>
    <row r="11" customFormat="false" ht="15" hidden="false" customHeight="true" outlineLevel="0" collapsed="false">
      <c r="B11" s="76" t="s">
        <v>144</v>
      </c>
      <c r="C11" s="68" t="n">
        <f aca="false">'Seating Plan'!F28</f>
        <v>163000</v>
      </c>
    </row>
    <row r="13" customFormat="false" ht="15" hidden="false" customHeight="true" outlineLevel="0" collapsed="false">
      <c r="B13" s="104" t="s">
        <v>838</v>
      </c>
      <c r="C13" s="105" t="s">
        <v>857</v>
      </c>
      <c r="D13" s="105" t="s">
        <v>858</v>
      </c>
      <c r="E13" s="105" t="s">
        <v>38</v>
      </c>
      <c r="F13" s="105" t="s">
        <v>39</v>
      </c>
      <c r="G13" s="105" t="s">
        <v>859</v>
      </c>
    </row>
    <row r="14" customFormat="false" ht="15" hidden="false" customHeight="true" outlineLevel="0" collapsed="false">
      <c r="B14" s="67" t="s">
        <v>841</v>
      </c>
      <c r="C14" s="73" t="n">
        <f aca="false">C11*1.1</f>
        <v>179300</v>
      </c>
      <c r="D14" s="73" t="n">
        <f aca="false">(C10-0.03*C11)+0.03*C14</f>
        <v>106754.5</v>
      </c>
      <c r="E14" s="73" t="n">
        <f aca="false">C14-D14</f>
        <v>72545.5</v>
      </c>
      <c r="F14" s="75" t="n">
        <f aca="false">IF(E14&gt;0,C9/E14,"—")</f>
        <v>82.234835902985</v>
      </c>
      <c r="G14" s="75" t="n">
        <f aca="false">IF(E14&gt;0,F14/4.33,"—")</f>
        <v>18.9918789614284</v>
      </c>
    </row>
    <row r="15" customFormat="false" ht="15" hidden="false" customHeight="true" outlineLevel="0" collapsed="false">
      <c r="B15" s="67" t="s">
        <v>33</v>
      </c>
      <c r="C15" s="73" t="n">
        <f aca="false">C11*1</f>
        <v>163000</v>
      </c>
      <c r="D15" s="73" t="n">
        <f aca="false">(C10-0.03*C11)+0.03*C15</f>
        <v>106265.5</v>
      </c>
      <c r="E15" s="73" t="n">
        <f aca="false">C15-D15</f>
        <v>56734.5</v>
      </c>
      <c r="F15" s="75" t="n">
        <f aca="false">IF(E15&gt;0,C9/E15,"—")</f>
        <v>105.152372683288</v>
      </c>
      <c r="G15" s="75" t="n">
        <f aca="false">IF(E15&gt;0,F15/4.33,"—")</f>
        <v>24.2846126289349</v>
      </c>
    </row>
    <row r="16" customFormat="false" ht="15" hidden="false" customHeight="true" outlineLevel="0" collapsed="false">
      <c r="B16" s="67" t="s">
        <v>860</v>
      </c>
      <c r="C16" s="73" t="n">
        <f aca="false">C11*0.95</f>
        <v>154850</v>
      </c>
      <c r="D16" s="73" t="n">
        <f aca="false">(C10-0.03*C11)+0.03*C16</f>
        <v>106021</v>
      </c>
      <c r="E16" s="73" t="n">
        <f aca="false">C16-D16</f>
        <v>48829</v>
      </c>
      <c r="F16" s="75" t="n">
        <f aca="false">IF(E16&gt;0,C9/E16,"—")</f>
        <v>122.176724651334</v>
      </c>
      <c r="G16" s="75" t="n">
        <f aca="false">IF(E16&gt;0,F16/4.33,"—")</f>
        <v>28.2163336377215</v>
      </c>
    </row>
    <row r="17" customFormat="false" ht="15" hidden="false" customHeight="true" outlineLevel="0" collapsed="false">
      <c r="B17" s="67" t="s">
        <v>34</v>
      </c>
      <c r="C17" s="73" t="n">
        <f aca="false">C11*0.9</f>
        <v>146700</v>
      </c>
      <c r="D17" s="73" t="n">
        <f aca="false">(C10-0.03*C11)+0.03*C17</f>
        <v>105776.5</v>
      </c>
      <c r="E17" s="73" t="n">
        <f aca="false">C17-D17</f>
        <v>40923.5</v>
      </c>
      <c r="F17" s="75" t="n">
        <f aca="false">IF(E17&gt;0,C9/E17,"—")</f>
        <v>145.77852060552</v>
      </c>
      <c r="G17" s="75" t="n">
        <f aca="false">IF(E17&gt;0,F17/4.33,"—")</f>
        <v>33.6670948280647</v>
      </c>
    </row>
    <row r="18" customFormat="false" ht="15" hidden="false" customHeight="true" outlineLevel="0" collapsed="false">
      <c r="B18" s="67" t="s">
        <v>87</v>
      </c>
      <c r="C18" s="73" t="n">
        <f aca="false">C11*0.85</f>
        <v>138550</v>
      </c>
      <c r="D18" s="73" t="n">
        <f aca="false">(C10-0.03*C11)+0.03*C18</f>
        <v>105532</v>
      </c>
      <c r="E18" s="73" t="n">
        <f aca="false">C18-D18</f>
        <v>33018</v>
      </c>
      <c r="F18" s="75" t="n">
        <f aca="false">IF(E18&gt;0,C9/E18,"—")</f>
        <v>180.682272942032</v>
      </c>
      <c r="G18" s="75" t="n">
        <f aca="false">IF(E18&gt;0,F18/4.33,"—")</f>
        <v>41.7280076078595</v>
      </c>
    </row>
    <row r="19" customFormat="false" ht="15" hidden="false" customHeight="true" outlineLevel="0" collapsed="false">
      <c r="B19" s="67" t="s">
        <v>35</v>
      </c>
      <c r="C19" s="73" t="n">
        <f aca="false">C11*0.8</f>
        <v>130400</v>
      </c>
      <c r="D19" s="73" t="n">
        <f aca="false">(C10-0.03*C11)+0.03*C19</f>
        <v>105287.5</v>
      </c>
      <c r="E19" s="73" t="n">
        <f aca="false">C19-D19</f>
        <v>25112.5</v>
      </c>
      <c r="F19" s="75" t="n">
        <f aca="false">IF(E19&gt;0,C9/E19,"—")</f>
        <v>237.561664031857</v>
      </c>
      <c r="G19" s="75" t="n">
        <f aca="false">IF(E19&gt;0,F19/4.33,"—")</f>
        <v>54.8641256424611</v>
      </c>
    </row>
    <row r="20" customFormat="false" ht="15" hidden="false" customHeight="true" outlineLevel="0" collapsed="false">
      <c r="B20" s="67" t="s">
        <v>36</v>
      </c>
      <c r="C20" s="73" t="n">
        <f aca="false">C11*0.75</f>
        <v>122250</v>
      </c>
      <c r="D20" s="73" t="n">
        <f aca="false">(C10-0.03*C11)+0.03*C20</f>
        <v>105043</v>
      </c>
      <c r="E20" s="73" t="n">
        <f aca="false">C20-D20</f>
        <v>17207</v>
      </c>
      <c r="F20" s="75" t="n">
        <f aca="false">IF(E20&gt;0,C9/E20,"—")</f>
        <v>346.70583413727</v>
      </c>
      <c r="G20" s="75" t="n">
        <f aca="false">IF(E20&gt;0,F20/4.33,"—")</f>
        <v>80.070631440478</v>
      </c>
    </row>
    <row r="21" customFormat="false" ht="15" hidden="false" customHeight="true" outlineLevel="0" collapsed="false">
      <c r="B21" s="67" t="s">
        <v>37</v>
      </c>
      <c r="C21" s="73" t="n">
        <f aca="false">C11*0.7</f>
        <v>114100</v>
      </c>
      <c r="D21" s="73" t="n">
        <f aca="false">(C10-0.03*C11)+0.03*C21</f>
        <v>104798.5</v>
      </c>
      <c r="E21" s="73" t="n">
        <f aca="false">C21-D21</f>
        <v>9301.5</v>
      </c>
      <c r="F21" s="75" t="n">
        <f aca="false">IF(E21&gt;0,C9/E21,"—")</f>
        <v>641.376905660378</v>
      </c>
      <c r="G21" s="75" t="n">
        <f aca="false">IF(E21&gt;0,F21/4.33,"—")</f>
        <v>148.123996688309</v>
      </c>
    </row>
    <row r="22" customFormat="false" ht="15" hidden="false" customHeight="true" outlineLevel="0" collapsed="false">
      <c r="B22" s="67" t="s">
        <v>88</v>
      </c>
      <c r="C22" s="73" t="n">
        <f aca="false">C11*0.65</f>
        <v>105950</v>
      </c>
      <c r="D22" s="73" t="n">
        <f aca="false">(C10-0.03*C11)+0.03*C22</f>
        <v>104554</v>
      </c>
      <c r="E22" s="73" t="n">
        <f aca="false">C22-D22</f>
        <v>1396</v>
      </c>
      <c r="F22" s="75" t="n">
        <f aca="false">IF(E22&gt;0,C9/E22,"—")</f>
        <v>4273.47226934098</v>
      </c>
      <c r="G22" s="75" t="n">
        <f aca="false">IF(E22&gt;0,F22/4.33,"—")</f>
        <v>986.945096845491</v>
      </c>
    </row>
    <row r="23" customFormat="false" ht="15" hidden="false" customHeight="true" outlineLevel="0" collapsed="false">
      <c r="B23" s="67" t="s">
        <v>842</v>
      </c>
      <c r="C23" s="73" t="n">
        <f aca="false">C11*0.6</f>
        <v>97800</v>
      </c>
      <c r="D23" s="73" t="n">
        <f aca="false">(C10-0.03*C11)+0.03*C23</f>
        <v>104309.5</v>
      </c>
      <c r="E23" s="73" t="n">
        <f aca="false">C23-D23</f>
        <v>-6509.5</v>
      </c>
      <c r="F23" s="75" t="str">
        <f aca="false">IF(E23&gt;0,C9/E23,"—")</f>
        <v>—</v>
      </c>
      <c r="G23" s="75" t="str">
        <f aca="false">IF(E23&gt;0,F23/4.33,"—")</f>
        <v>—</v>
      </c>
    </row>
    <row r="24" customFormat="false" ht="15" hidden="false" customHeight="true" outlineLevel="0" collapsed="false">
      <c r="B24" s="67" t="s">
        <v>861</v>
      </c>
      <c r="C24" s="73" t="n">
        <f aca="false">C11*0.55</f>
        <v>89650</v>
      </c>
      <c r="D24" s="73" t="n">
        <f aca="false">(C10-0.03*C11)+0.03*C24</f>
        <v>104065</v>
      </c>
      <c r="E24" s="73" t="n">
        <f aca="false">C24-D24</f>
        <v>-14415</v>
      </c>
      <c r="F24" s="75" t="str">
        <f aca="false">IF(E24&gt;0,C9/E24,"—")</f>
        <v>—</v>
      </c>
      <c r="G24" s="75" t="str">
        <f aca="false">IF(E24&gt;0,F24/4.33,"—")</f>
        <v>—</v>
      </c>
    </row>
    <row r="25" customFormat="false" ht="15" hidden="false" customHeight="true" outlineLevel="0" collapsed="false">
      <c r="B25" s="67" t="s">
        <v>843</v>
      </c>
      <c r="C25" s="73" t="n">
        <f aca="false">C11*0.5</f>
        <v>81500</v>
      </c>
      <c r="D25" s="73" t="n">
        <f aca="false">(C10-0.03*C11)+0.03*C25</f>
        <v>103820.5</v>
      </c>
      <c r="E25" s="73" t="n">
        <f aca="false">C25-D25</f>
        <v>-22320.5</v>
      </c>
      <c r="F25" s="75" t="str">
        <f aca="false">IF(E25&gt;0,C9/E25,"—")</f>
        <v>—</v>
      </c>
      <c r="G25" s="75" t="str">
        <f aca="false">IF(E25&gt;0,F25/4.33,"—")</f>
        <v>—</v>
      </c>
    </row>
    <row r="26" customFormat="false" ht="15" hidden="false" customHeight="true" outlineLevel="0" collapsed="false">
      <c r="B26" s="67" t="s">
        <v>862</v>
      </c>
      <c r="C26" s="73" t="n">
        <f aca="false">C11*0.45</f>
        <v>73350</v>
      </c>
      <c r="D26" s="73" t="n">
        <f aca="false">(C10-0.03*C11)+0.03*C26</f>
        <v>103576</v>
      </c>
      <c r="E26" s="73" t="n">
        <f aca="false">C26-D26</f>
        <v>-30226</v>
      </c>
      <c r="F26" s="75" t="str">
        <f aca="false">IF(E26&gt;0,C9/E26,"—")</f>
        <v>—</v>
      </c>
      <c r="G26" s="75" t="str">
        <f aca="false">IF(E26&gt;0,F26/4.33,"—")</f>
        <v>—</v>
      </c>
    </row>
    <row r="28" customFormat="false" ht="15" hidden="false" customHeight="true" outlineLevel="0" collapsed="false">
      <c r="B28" s="76" t="s">
        <v>863</v>
      </c>
      <c r="C28" s="108" t="n">
        <f aca="false">((C10-0.03*C11)/(1-0.03))/C11</f>
        <v>0.641170703940295</v>
      </c>
    </row>
    <row r="29" customFormat="false" ht="15" hidden="false" customHeight="true" outlineLevel="0" collapsed="false">
      <c r="B29" s="67" t="s">
        <v>864</v>
      </c>
      <c r="C29" s="73" t="n">
        <f aca="false">C28*C11</f>
        <v>104510.824742268</v>
      </c>
    </row>
    <row r="30" customFormat="false" ht="15" hidden="false" customHeight="true" outlineLevel="0" collapsed="false">
      <c r="B30" s="67" t="s">
        <v>865</v>
      </c>
      <c r="C30" s="75" t="n">
        <f aca="false">C28*150</f>
        <v>96.1756055910442</v>
      </c>
    </row>
    <row r="32" customFormat="false" ht="15" hidden="false" customHeight="true" outlineLevel="0" collapsed="false">
      <c r="B32" s="81" t="s">
        <v>866</v>
      </c>
    </row>
    <row r="33" customFormat="false" ht="15" hidden="false" customHeight="true" outlineLevel="0" collapsed="false">
      <c r="B33" s="80" t="s">
        <v>867</v>
      </c>
      <c r="C33" s="80"/>
      <c r="D33" s="80"/>
      <c r="E33" s="80"/>
      <c r="F33" s="80"/>
      <c r="G33" s="80"/>
    </row>
    <row r="34" customFormat="false" ht="15" hidden="false" customHeight="true" outlineLevel="0" collapsed="false">
      <c r="B34" s="80" t="s">
        <v>868</v>
      </c>
      <c r="C34" s="80"/>
      <c r="D34" s="80"/>
      <c r="E34" s="80"/>
      <c r="F34" s="80"/>
      <c r="G34" s="80"/>
    </row>
    <row r="35" customFormat="false" ht="15" hidden="false" customHeight="true" outlineLevel="0" collapsed="false">
      <c r="B35" s="80" t="s">
        <v>869</v>
      </c>
      <c r="C35" s="80"/>
      <c r="D35" s="80"/>
      <c r="E35" s="80"/>
      <c r="F35" s="80"/>
      <c r="G35" s="80"/>
    </row>
    <row r="36" customFormat="false" ht="15" hidden="false" customHeight="true" outlineLevel="0" collapsed="false">
      <c r="B36" s="80" t="s">
        <v>870</v>
      </c>
      <c r="C36" s="80"/>
      <c r="D36" s="80"/>
      <c r="E36" s="80"/>
      <c r="F36" s="80"/>
      <c r="G36" s="80"/>
    </row>
    <row r="37" customFormat="false" ht="15" hidden="false" customHeight="true" outlineLevel="0" collapsed="false">
      <c r="B37" s="80" t="s">
        <v>871</v>
      </c>
      <c r="C37" s="80"/>
      <c r="D37" s="80"/>
      <c r="E37" s="80"/>
      <c r="F37" s="80"/>
      <c r="G37" s="80"/>
    </row>
    <row r="38" customFormat="false" ht="15" hidden="false" customHeight="true" outlineLevel="0" collapsed="false">
      <c r="B38" s="80" t="s">
        <v>872</v>
      </c>
      <c r="C38" s="80"/>
      <c r="D38" s="80"/>
      <c r="E38" s="80"/>
      <c r="F38" s="80"/>
      <c r="G38" s="80"/>
    </row>
  </sheetData>
  <mergeCells count="8">
    <mergeCell ref="A6:G6"/>
    <mergeCell ref="A7:G7"/>
    <mergeCell ref="B33:G33"/>
    <mergeCell ref="B34:G34"/>
    <mergeCell ref="B35:G35"/>
    <mergeCell ref="B36:G36"/>
    <mergeCell ref="B37:G37"/>
    <mergeCell ref="B38:G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2026-04-21T04:09:19Z</dcterms:created>
  <dc:creator>openpyxl</dc:creator>
  <dc:description/>
  <dc:language>en-US</dc:language>
  <cp:lastModifiedBy/>
  <dcterms:modified xsi:type="dcterms:W3CDTF">2026-04-23T09:10:22Z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